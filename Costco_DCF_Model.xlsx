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WACC" sheetId="3" state="visible" r:id="rId5"/>
    <sheet name="Historicals" sheetId="4" state="visible" r:id="rId6"/>
    <sheet name="DCF Model" sheetId="5" state="visible" r:id="rId7"/>
    <sheet name="Sensitiv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Anchored to Costco's FY2025 year-end (31-Aug-2025) so forecast periods discount as clean full years.</t>
        </r>
      </text>
    </comment>
    <comment ref="C7" authorId="0">
      <text>
        <r>
          <rPr>
            <sz val="10"/>
            <rFont val="Arial"/>
            <family val="2"/>
          </rPr>
          <t xml:space="preserve">COST closing price ~$915 on 10–11-Jul-2026 (StockAnalysis/Google Finance market data).</t>
        </r>
      </text>
    </comment>
    <comment ref="C8" authorId="0">
      <text>
        <r>
          <rPr>
            <sz val="10"/>
            <rFont val="Arial"/>
            <family val="2"/>
          </rPr>
          <t xml:space="preserve">FY2025 diluted weighted-average shares = 444,803 thousand. Source: FY2025 earnings release, income statement.</t>
        </r>
      </text>
    </comment>
    <comment ref="C11" authorId="0">
      <text>
        <r>
          <rPr>
            <sz val="10"/>
            <rFont val="Arial"/>
            <family val="2"/>
          </rPr>
          <t xml:space="preserve">FY2025 balance sheet. Source: FY2025 earnings release.</t>
        </r>
      </text>
    </comment>
    <comment ref="C12" authorId="0">
      <text>
        <r>
          <rPr>
            <sz val="10"/>
            <rFont val="Arial"/>
            <family val="2"/>
          </rPr>
          <t xml:space="preserve">FY2025 balance sheet. Source: FY2025 earnings release.</t>
        </r>
      </text>
    </comment>
    <comment ref="C13" authorId="0">
      <text>
        <r>
          <rPr>
            <sz val="10"/>
            <rFont val="Arial"/>
            <family val="2"/>
          </rPr>
          <t xml:space="preserve">FY2025 balance sheet long-term debt excl. current portion. Source: FY2025 earnings release.</t>
        </r>
      </text>
    </comment>
    <comment ref="C14" authorId="0">
      <text>
        <r>
          <rPr>
            <sz val="10"/>
            <rFont val="Arial"/>
            <family val="2"/>
          </rPr>
          <t xml:space="preserve">Current portion of long-term debt at 31-Aug-2025 (~$75mm). Source: FY2025 10-K debt note.</t>
        </r>
      </text>
    </comment>
    <comment ref="C19" authorId="0">
      <text>
        <r>
          <rPr>
            <sz val="10"/>
            <rFont val="Arial"/>
            <family val="2"/>
          </rPr>
          <t xml:space="preserve">FY2025 net sales grew ~8.1%. Forecast decelerates 8.0%→6.0% as the base grows, reflecting new-warehouse (esp. international) unit growth plus mid-single-digit comps. Source assumption.</t>
        </r>
      </text>
    </comment>
    <comment ref="C20" authorId="0">
      <text>
        <r>
          <rPr>
            <sz val="10"/>
            <rFont val="Arial"/>
            <family val="2"/>
          </rPr>
          <t xml:space="preserve">Membership fees grew ~10% in FY2025 (fee increase + member growth). High-margin and sticky (~90% renewal). Forecast 8.5%→6.5%, slightly above net sales. Source assumption.</t>
        </r>
      </text>
    </comment>
    <comment ref="C21" authorId="0">
      <text>
        <r>
          <rPr>
            <sz val="10"/>
            <rFont val="Arial"/>
            <family val="2"/>
          </rPr>
          <t xml:space="preserve">Merchandise cost = COGS. Historically ~88.9%–89.4% of net sales (gross margin ~10.6%–11.1%). Assume gradual ~5bps/yr gross-margin improvement (mix, Kirkland, scale). Source assumption.</t>
        </r>
      </text>
    </comment>
    <comment ref="C22" authorId="0">
      <text>
        <r>
          <rPr>
            <sz val="10"/>
            <rFont val="Arial"/>
            <family val="2"/>
          </rPr>
          <t xml:space="preserve">SG&amp;A ~8.9%–9.1% of total revenue historically. Assume modest operating leverage (~1bp/yr). Source assumption.</t>
        </r>
      </text>
    </comment>
    <comment ref="C25" authorId="0">
      <text>
        <r>
          <rPr>
            <sz val="10"/>
            <rFont val="Arial"/>
            <family val="2"/>
          </rPr>
          <t xml:space="preserve">FY2025 D&amp;A $2,426mm = 0.88% of total revenue. Assume 0.90%. Source: FY2025 cash flow statement.</t>
        </r>
      </text>
    </comment>
    <comment ref="C26" authorId="0">
      <text>
        <r>
          <rPr>
            <sz val="10"/>
            <rFont val="Arial"/>
            <family val="2"/>
          </rPr>
          <t xml:space="preserve">FY2025 capex $5,498mm = 2.00% of total revenue (new/remodeled warehouses). Source: FY2025 cash flow statement.</t>
        </r>
      </text>
    </comment>
    <comment ref="C27" authorId="0">
      <text>
        <r>
          <rPr>
            <sz val="10"/>
            <rFont val="Arial"/>
            <family val="2"/>
          </rPr>
          <t xml:space="preserve">Costco runs structurally NEGATIVE operating working capital (fast turns + large payables); FY2025 op NWC ≈ -5% of revenue. A conservative -3.0% is assumed, so revenue growth releases cash. Source assumption.</t>
        </r>
      </text>
    </comment>
    <comment ref="C28" authorId="0">
      <text>
        <r>
          <rPr>
            <sz val="10"/>
            <rFont val="Arial"/>
            <family val="2"/>
          </rPr>
          <t xml:space="preserve">FY2025 effective tax rate = $2,719mm / $10,818mm = 25.1%. Assume 25.0%. Source: FY2025 income statement.</t>
        </r>
      </text>
    </comment>
    <comment ref="C31" authorId="0">
      <text>
        <r>
          <rPr>
            <sz val="10"/>
            <rFont val="Arial"/>
            <family val="2"/>
          </rPr>
          <t xml:space="preserve">Long-run FCF growth ~ nominal GDP (3.0%). Must be below WACC. Source assumption.</t>
        </r>
      </text>
    </comment>
    <comment ref="C32" authorId="0">
      <text>
        <r>
          <rPr>
            <sz val="10"/>
            <rFont val="Arial"/>
            <family val="2"/>
          </rPr>
          <t xml:space="preserve">Terminal-year exit multiple. COST currently trades ~30x EV/EBITDA; 18x is a normalized premium-retailer level.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U.S. 10-yr Treasury ~4.55% (10-Jul-2026). Source: market data.</t>
        </r>
      </text>
    </comment>
    <comment ref="C7" authorId="0">
      <text>
        <r>
          <rPr>
            <sz val="10"/>
            <rFont val="Arial"/>
            <family val="2"/>
          </rPr>
          <t xml:space="preserve">Long-run U.S. equity risk premium assumption (~5.0%).</t>
        </r>
      </text>
    </comment>
    <comment ref="C8" authorId="0">
      <text>
        <r>
          <rPr>
            <sz val="10"/>
            <rFont val="Arial"/>
            <family val="2"/>
          </rPr>
          <t xml:space="preserve">COST beta ≈ 0.87–0.88 (Google Finance / market data, Jul-2026).</t>
        </r>
      </text>
    </comment>
    <comment ref="C12" authorId="0">
      <text>
        <r>
          <rPr>
            <sz val="10"/>
            <rFont val="Arial"/>
            <family val="2"/>
          </rPr>
          <t xml:space="preserve">Costco's existing weighted-avg rate on debt &amp; finance leases is 2.49% (FY2025 10-K); 4.5% assumed as a forward marginal borrowing cost.</t>
        </r>
      </text>
    </comment>
    <comment ref="C18" authorId="0">
      <text>
        <r>
          <rPr>
            <sz val="10"/>
            <rFont val="Arial"/>
            <family val="2"/>
          </rPr>
          <t xml:space="preserve">Long-term debt $5,713mm + current portion $75mm = $5,788mm. Linked from Assumptions net-cash bridge.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3" authorId="0">
      <text>
        <r>
          <rPr>
            <sz val="10"/>
            <rFont val="Arial"/>
            <family val="2"/>
          </rPr>
          <t xml:space="preserve">Costco's operating working capital is negative (~-3% of revenue assumed), so growth RELEASES cash. Cash impact = prior-year NWC − current-year NWC (positive = source).</t>
        </r>
      </text>
    </comment>
    <comment ref="F33" authorId="0">
      <text>
        <r>
          <rPr>
            <sz val="10"/>
            <rFont val="Arial"/>
            <family val="2"/>
          </rPr>
          <t xml:space="preserve">Gordon growth perpetuity on terminal-year unlevered FCF.</t>
        </r>
      </text>
    </comment>
    <comment ref="F58" authorId="0">
      <text>
        <r>
          <rPr>
            <sz val="10"/>
            <rFont val="Arial"/>
            <family val="2"/>
          </rPr>
          <t xml:space="preserve">What the market prices in today, solved backwards through the same DCF framework.</t>
        </r>
      </text>
    </comment>
    <comment ref="F63" authorId="0">
      <text>
        <r>
          <rPr>
            <sz val="10"/>
            <rFont val="Arial"/>
            <family val="2"/>
          </rPr>
          <t xml:space="preserve">Exit multiple embedded in today's price. COST trades ~30x EV/EBITDA vs. our 18x base case.</t>
        </r>
      </text>
    </comment>
    <comment ref="F64" authorId="0">
      <text>
        <r>
          <rPr>
            <sz val="10"/>
            <rFont val="Arial"/>
            <family val="2"/>
          </rPr>
          <t xml:space="preserve">Perpetual FCF growth the current price implies (holding WACC fixed). A high figure signals the market expects many more years of strong growth than a standard 5-yr + perpetuity DCF captures.</t>
        </r>
      </text>
    </comment>
  </commentList>
</comments>
</file>

<file path=xl/sharedStrings.xml><?xml version="1.0" encoding="utf-8"?>
<sst xmlns="http://schemas.openxmlformats.org/spreadsheetml/2006/main" count="245" uniqueCount="214">
  <si>
    <t xml:space="preserve">COSTCO WHOLESALE CORPORATION</t>
  </si>
  <si>
    <t xml:space="preserve">Discounted Cash Flow (DCF) Valuation Model</t>
  </si>
  <si>
    <t xml:space="preserve">NASDAQ: COST  |  Consumer Staples — Warehouse Clubs &amp; Retail</t>
  </si>
  <si>
    <t xml:space="preserve">All figures in US$ millions unless otherwise noted</t>
  </si>
  <si>
    <t xml:space="preserve">VALUATION SUMMARY</t>
  </si>
  <si>
    <t xml:space="preserve">Valuation date</t>
  </si>
  <si>
    <t xml:space="preserve">WACC</t>
  </si>
  <si>
    <t xml:space="preserve">Terminal growth rate (perpetuity)</t>
  </si>
  <si>
    <t xml:space="preserve">Enterprise value (perpetuity method)</t>
  </si>
  <si>
    <t xml:space="preserve">Implied equity value</t>
  </si>
  <si>
    <t xml:space="preserve">Implied value / share (perpetuity method)</t>
  </si>
  <si>
    <t xml:space="preserve">Implied value / share (exit-multiple method)</t>
  </si>
  <si>
    <t xml:space="preserve">Current share price</t>
  </si>
  <si>
    <t xml:space="preserve">Implied upside / (downside) — perpetuity</t>
  </si>
  <si>
    <t xml:space="preserve">How to read this: a conventional 5-year + terminal DCF values COST below its market price because the stock trades at a large premium. See the reverse-DCF and sensitivity tabs for the growth/multiple the market implies.</t>
  </si>
  <si>
    <t xml:space="preserve">CONTENTS</t>
  </si>
  <si>
    <t xml:space="preserve">1. Assumptions</t>
  </si>
  <si>
    <t xml:space="preserve">Operating drivers, ratio assumptions, market data &amp; terminal assumptions</t>
  </si>
  <si>
    <t xml:space="preserve">2. WACC</t>
  </si>
  <si>
    <t xml:space="preserve">Weighted-average cost of capital build-up (CAPM)</t>
  </si>
  <si>
    <t xml:space="preserve">3. DCF Model</t>
  </si>
  <si>
    <t xml:space="preserve">Unlevered FCF projection (split COGS/SG&amp;A), terminal value &amp; value/share</t>
  </si>
  <si>
    <t xml:space="preserve">4. Sensitivity</t>
  </si>
  <si>
    <t xml:space="preserve">Value/share vs. WACC, terminal growth and exit multiple</t>
  </si>
  <si>
    <t xml:space="preserve">5. Historicals</t>
  </si>
  <si>
    <t xml:space="preserve">Sourced FY2021–FY2025 income statement, cash flow &amp; balance sheet</t>
  </si>
  <si>
    <t xml:space="preserve">COLOR &amp; FORMAT LEGEND</t>
  </si>
  <si>
    <t xml:space="preserve">Blue text</t>
  </si>
  <si>
    <t xml:space="preserve">Hardcoded input / assumption — edit these to drive the model</t>
  </si>
  <si>
    <t xml:space="preserve">Black text</t>
  </si>
  <si>
    <t xml:space="preserve">Formula / calculated cell — do not overwrite</t>
  </si>
  <si>
    <t xml:space="preserve">Green text</t>
  </si>
  <si>
    <t xml:space="preserve">Link to another worksheet in this workbook</t>
  </si>
  <si>
    <t xml:space="preserve">Yellow fill</t>
  </si>
  <si>
    <t xml:space="preserve">Key assumption you are expected to change</t>
  </si>
  <si>
    <t xml:space="preserve">PRIMARY SOURCES</t>
  </si>
  <si>
    <t xml:space="preserve">• Costco FY2025 Q4/full-year earnings release (52 wks ended 31-Aug-2025), filed 25-Sep-2025 — income statement, balance sheet, cash flow.</t>
  </si>
  <si>
    <t xml:space="preserve">• Costco FY2021–FY2024 10-K filings (SEC EDGAR, CIK 0000909832) — prior-year income statement, cash flow &amp; balance sheet detail.</t>
  </si>
  <si>
    <t xml:space="preserve">• Costco FY2025 10-K — debt schedule, effective tax rate, weighted-avg interest rate 2.49%.</t>
  </si>
  <si>
    <t xml:space="preserve">• Market data (share price ~$915, beta ~0.88) as of 10–11 Jul 2026; U.S. 10-yr Treasury ~4.55% (10-Jul-2026).</t>
  </si>
  <si>
    <t xml:space="preserve">Disclaimer: For illustrative/educational purposes only; not investment advice. A DCF is highly sensitive to its assumptions; outputs are estimates, not price targets. Verify all inputs against primary filings before use.</t>
  </si>
  <si>
    <t xml:space="preserve">ASSUMPTIONS &amp; KEY DRIVERS</t>
  </si>
  <si>
    <t xml:space="preserve">Blue = input (edit) · Yellow fill = key lever · All $ in millions</t>
  </si>
  <si>
    <t xml:space="preserve">MARKET DATA &amp; VALUATION DATE</t>
  </si>
  <si>
    <t xml:space="preserve">Valuation date (fiscal year-end base)</t>
  </si>
  <si>
    <t xml:space="preserve">Current share price ($/share)</t>
  </si>
  <si>
    <t xml:space="preserve">Diluted shares outstanding (millions)</t>
  </si>
  <si>
    <t xml:space="preserve">NET CASH BRIDGE (FY2025 balance sheet)</t>
  </si>
  <si>
    <t xml:space="preserve">Cash &amp; cash equivalents</t>
  </si>
  <si>
    <t xml:space="preserve">Short-term investments</t>
  </si>
  <si>
    <t xml:space="preserve">Less: long-term debt (excl. current portion)</t>
  </si>
  <si>
    <t xml:space="preserve">Less: current portion of long-term debt</t>
  </si>
  <si>
    <t xml:space="preserve">Net cash / (net debt)</t>
  </si>
  <si>
    <t xml:space="preserve">OPERATING DRIVERS BY FORECAST YEAR</t>
  </si>
  <si>
    <t xml:space="preserve">Fiscal year ending August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</si>
  <si>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</si>
  <si>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</si>
  <si>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</si>
  <si>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</si>
  <si>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</si>
  <si>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Net sales growth (YoY)</t>
  </si>
  <si>
    <t xml:space="preserve">Membership fee growth (YoY)</t>
  </si>
  <si>
    <t xml:space="preserve">Merchandise costs (% of net sales)</t>
  </si>
  <si>
    <t xml:space="preserve">SG&amp;A (% of total revenue)</t>
  </si>
  <si>
    <t xml:space="preserve">RATIO &amp; TAX ASSUMPTIONS</t>
  </si>
  <si>
    <t xml:space="preserve">Depreciation &amp; amortization (% of revenue)</t>
  </si>
  <si>
    <t xml:space="preserve">Capital expenditure (% of revenue)</t>
  </si>
  <si>
    <t xml:space="preserve">Net working capital (% of revenue)</t>
  </si>
  <si>
    <t xml:space="preserve">Effective tax rate</t>
  </si>
  <si>
    <t xml:space="preserve">TERMINAL VALUE ASSUMPTIONS</t>
  </si>
  <si>
    <t xml:space="preserve">Terminal growth rate (perpetuity method)</t>
  </si>
  <si>
    <t xml:space="preserve">Exit EV/EBITDA multiple (exit-multiple method)</t>
  </si>
  <si>
    <t xml:space="preserve">WEIGHTED-AVERAGE COST OF CAPITAL (WACC)</t>
  </si>
  <si>
    <t xml:space="preserve">CAPM-based; blue = input, black = formula, green = link</t>
  </si>
  <si>
    <t xml:space="preserve">COST OF EQUITY (CAPM)</t>
  </si>
  <si>
    <t xml:space="preserve">Risk-free rate (10-yr U.S. Treasury)</t>
  </si>
  <si>
    <t xml:space="preserve">Equity risk premium</t>
  </si>
  <si>
    <t xml:space="preserve">Beta (levered)</t>
  </si>
  <si>
    <t xml:space="preserve">Cost of equity = Rf + Beta × ERP</t>
  </si>
  <si>
    <t xml:space="preserve">COST OF DEBT</t>
  </si>
  <si>
    <t xml:space="preserve">Pre-tax cost of debt</t>
  </si>
  <si>
    <t xml:space="preserve">After-tax cost of debt = Kd × (1 − tax)</t>
  </si>
  <si>
    <t xml:space="preserve">CAPITAL STRUCTURE (market values, $mm)</t>
  </si>
  <si>
    <t xml:space="preserve">Market value of equity (price × shares)</t>
  </si>
  <si>
    <t xml:space="preserve">Total debt (book value, FY2025)</t>
  </si>
  <si>
    <t xml:space="preserve">Total capitalization</t>
  </si>
  <si>
    <t xml:space="preserve">Weight of equity</t>
  </si>
  <si>
    <t xml:space="preserve">Weight of debt</t>
  </si>
  <si>
    <t xml:space="preserve">WACC = We×Ke + Wd×Kd(1−t)</t>
  </si>
  <si>
    <t xml:space="preserve">HISTORICAL FINANCIALS (as reported)</t>
  </si>
  <si>
    <t xml:space="preserve">Source: Costco FY2021–FY2025 earnings releases &amp; 10-K filings (SEC EDGAR) · $ in millions</t>
  </si>
  <si>
    <t xml:space="preserve">Fiscal year ending late Aug / early Sep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</si>
  <si>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</si>
  <si>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</si>
  <si>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</si>
  <si>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</si>
  <si>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</si>
  <si>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Source note</t>
  </si>
  <si>
    <t xml:space="preserve">INCOME STATEMENT</t>
  </si>
  <si>
    <t xml:space="preserve">Net sales</t>
  </si>
  <si>
    <t xml:space="preserve">10-K / earnings releases</t>
  </si>
  <si>
    <t xml:space="preserve">Membership fees</t>
  </si>
  <si>
    <t xml:space="preserve">Total revenue</t>
  </si>
  <si>
    <t xml:space="preserve">Net sales + membership fees</t>
  </si>
  <si>
    <t xml:space="preserve">Merchandise costs (COGS)</t>
  </si>
  <si>
    <t xml:space="preserve">Selling, general &amp; administrative</t>
  </si>
  <si>
    <t xml:space="preserve">Operating income</t>
  </si>
  <si>
    <t xml:space="preserve">Total revenue − COGS − SG&amp;A</t>
  </si>
  <si>
    <t xml:space="preserve">  Operating margin</t>
  </si>
  <si>
    <t xml:space="preserve">Operating income / total revenue</t>
  </si>
  <si>
    <t xml:space="preserve">Interest expense</t>
  </si>
  <si>
    <t xml:space="preserve">Interest income &amp; other, net</t>
  </si>
  <si>
    <t xml:space="preserve">Pre-tax income</t>
  </si>
  <si>
    <t xml:space="preserve">Operating income + other inc/(exp)</t>
  </si>
  <si>
    <t xml:space="preserve">Provision for income taxes</t>
  </si>
  <si>
    <t xml:space="preserve">  Effective tax rate</t>
  </si>
  <si>
    <t xml:space="preserve">Taxes / pre-tax income</t>
  </si>
  <si>
    <t xml:space="preserve">Net income (consolidated)</t>
  </si>
  <si>
    <t xml:space="preserve">Pre-tax income − taxes</t>
  </si>
  <si>
    <t xml:space="preserve">Less: noncontrolling interests</t>
  </si>
  <si>
    <t xml:space="preserve">NCI (Taiwan JV bought out FY2022)</t>
  </si>
  <si>
    <t xml:space="preserve">Net income attributable to Costco</t>
  </si>
  <si>
    <t xml:space="preserve">Consolidated − NCI</t>
  </si>
  <si>
    <t xml:space="preserve">  Diluted EPS ($)</t>
  </si>
  <si>
    <t xml:space="preserve">As reported</t>
  </si>
  <si>
    <t xml:space="preserve">  Diluted shares (millions)</t>
  </si>
  <si>
    <t xml:space="preserve">Weighted-avg diluted shares</t>
  </si>
  <si>
    <t xml:space="preserve">CASH FLOW / CAPITAL</t>
  </si>
  <si>
    <t xml:space="preserve">Depreciation &amp; amortization</t>
  </si>
  <si>
    <t xml:space="preserve">Cash flow statement</t>
  </si>
  <si>
    <t xml:space="preserve">Stock-based compensation</t>
  </si>
  <si>
    <t xml:space="preserve">Net cash from operations</t>
  </si>
  <si>
    <t xml:space="preserve">Capital expenditures</t>
  </si>
  <si>
    <t xml:space="preserve">Additions to property &amp; equipment</t>
  </si>
  <si>
    <t xml:space="preserve">Free cash flow (levered) = CFO − capex</t>
  </si>
  <si>
    <t xml:space="preserve">Operating cash flow − capex</t>
  </si>
  <si>
    <t xml:space="preserve">BALANCE SHEET (period-end)</t>
  </si>
  <si>
    <t xml:space="preserve">Balance sheet</t>
  </si>
  <si>
    <t xml:space="preserve">Cash + short-term investments</t>
  </si>
  <si>
    <t xml:space="preserve">Liquidity</t>
  </si>
  <si>
    <t xml:space="preserve">Long-term debt (excl. current portion)</t>
  </si>
  <si>
    <t xml:space="preserve">Total Costco shareholders' equity</t>
  </si>
  <si>
    <t xml:space="preserve">Total revenue 4-yr CAGR (FY21→FY25)</t>
  </si>
  <si>
    <t xml:space="preserve">COSTCO WHOLESALE — UNLEVERED DCF</t>
  </si>
  <si>
    <t xml:space="preserve">Unlevered free cash flow to firm · COGS &amp; SG&amp;A modeled separately · $ in millions except per-share</t>
  </si>
  <si>
    <t xml:space="preserve">Fiscal year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</si>
  <si>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</si>
  <si>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</si>
  <si>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</si>
  <si>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</si>
  <si>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</si>
  <si>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</si>
  <si>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</si>
  <si>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</si>
  <si>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  % growth</t>
  </si>
  <si>
    <t xml:space="preserve">Less: merchandise costs (COGS)</t>
  </si>
  <si>
    <t xml:space="preserve">  COGS % of net sales</t>
  </si>
  <si>
    <t xml:space="preserve">Less: SG&amp;A</t>
  </si>
  <si>
    <t xml:space="preserve">  SG&amp;A % of total revenue</t>
  </si>
  <si>
    <t xml:space="preserve">Operating income (EBIT)</t>
  </si>
  <si>
    <t xml:space="preserve">  operating margin</t>
  </si>
  <si>
    <t xml:space="preserve">Less: cash taxes on EBIT</t>
  </si>
  <si>
    <t xml:space="preserve">NOPAT (EBIT after tax)</t>
  </si>
  <si>
    <t xml:space="preserve">Add: depreciation &amp; amortization</t>
  </si>
  <si>
    <t xml:space="preserve">Less: capital expenditures</t>
  </si>
  <si>
    <t xml:space="preserve">  Net working capital (memo)</t>
  </si>
  <si>
    <t xml:space="preserve">Add: NWC change (source/(use) of cash)</t>
  </si>
  <si>
    <t xml:space="preserve">Unlevered free cash flow</t>
  </si>
  <si>
    <t xml:space="preserve">Discount period (years)</t>
  </si>
  <si>
    <t xml:space="preserve">Discount factor @ WACC</t>
  </si>
  <si>
    <t xml:space="preserve">PV of unlevered FCF</t>
  </si>
  <si>
    <t xml:space="preserve">DCF VALUATION — PERPETUITY GROWTH METHOD</t>
  </si>
  <si>
    <t xml:space="preserve">Sum of PV of explicit FCF (FY26–FY30)</t>
  </si>
  <si>
    <t xml:space="preserve">Terminal growth rate (g)</t>
  </si>
  <si>
    <t xml:space="preserve">Terminal-year FCF × (1+g)</t>
  </si>
  <si>
    <t xml:space="preserve">Terminal value (undiscounted) = FCF×(1+g)/(WACC−g)</t>
  </si>
  <si>
    <t xml:space="preserve">PV of terminal value</t>
  </si>
  <si>
    <t xml:space="preserve">Enterprise value</t>
  </si>
  <si>
    <t xml:space="preserve">  % of EV from terminal value</t>
  </si>
  <si>
    <t xml:space="preserve">Add: net cash / (less: net debt)</t>
  </si>
  <si>
    <t xml:space="preserve">Diluted shares (millions)</t>
  </si>
  <si>
    <t xml:space="preserve">Implied value per share</t>
  </si>
  <si>
    <t xml:space="preserve">Implied upside / (downside)</t>
  </si>
  <si>
    <t xml:space="preserve">DCF VALUATION — EXIT EV/EBITDA MULTIPLE METHOD</t>
  </si>
  <si>
    <t xml:space="preserve">Terminal-year EBIT (FY2030E)</t>
  </si>
  <si>
    <t xml:space="preserve">Add: terminal-year D&amp;A (FY2030E)</t>
  </si>
  <si>
    <t xml:space="preserve">Terminal-year EBITDA</t>
  </si>
  <si>
    <t xml:space="preserve">Exit EV/EBITDA multiple</t>
  </si>
  <si>
    <t xml:space="preserve">Terminal value (undiscounted)</t>
  </si>
  <si>
    <t xml:space="preserve">MARKET-IMPLIED EXPECTATIONS (REVERSE DCF)</t>
  </si>
  <si>
    <t xml:space="preserve">Current market capitalisation</t>
  </si>
  <si>
    <t xml:space="preserve">Implied enterprise value (mkt cap − net cash)</t>
  </si>
  <si>
    <t xml:space="preserve">Less: PV of explicit FCF (FY26–FY30)</t>
  </si>
  <si>
    <t xml:space="preserve">Implied PV of terminal value</t>
  </si>
  <si>
    <t xml:space="preserve">Implied terminal value (undiscounted)</t>
  </si>
  <si>
    <t xml:space="preserve">Implied exit EV/EBITDA multiple</t>
  </si>
  <si>
    <t xml:space="preserve">Implied perpetual growth rate (g)</t>
  </si>
  <si>
    <t xml:space="preserve">VALUATION SUMMARY (RANGE)</t>
  </si>
  <si>
    <t xml:space="preserve">Value / share — perpetuity growth method</t>
  </si>
  <si>
    <t xml:space="preserve">Value / share — exit-multiple method</t>
  </si>
  <si>
    <t xml:space="preserve">Midpoint of the two methods</t>
  </si>
  <si>
    <t xml:space="preserve">Midpoint upside / (downside)</t>
  </si>
  <si>
    <t xml:space="preserve">Note: a standard 5-yr + terminal DCF values COST below its market price because the shares trade at a large premium (~30x EV/EBITDA, ~46x P/E). The reverse DCF above shows the growth/multiple the market is pricing in.</t>
  </si>
  <si>
    <t xml:space="preserve">SENSITIVITY ANALYSIS</t>
  </si>
  <si>
    <t xml:space="preserve">Implied value per share ($). Each cell recomputes the full DCF for the given WACC / assumption pair.</t>
  </si>
  <si>
    <t xml:space="preserve">Table 1 — Perpetuity method: value/share vs. WACC (down) × terminal growth (across)</t>
  </si>
  <si>
    <t xml:space="preserve">WACC \ g</t>
  </si>
  <si>
    <t xml:space="preserve">Base case ≈ WACC 8.6% / g 3.0% (highlighted).</t>
  </si>
  <si>
    <t xml:space="preserve">Table 2 — Exit-multiple method: value/share vs. WACC (down) × EV/EBITDA (across)</t>
  </si>
  <si>
    <t xml:space="preserve">WACC \ exit x</t>
  </si>
  <si>
    <t xml:space="preserve">Base case ≈ WACC 8.6% / 18.0x exit (highlighted). COST currently trades ~30x EV/EBITDA.</t>
  </si>
  <si>
    <t xml:space="preserve">Valuation range summary (links to DCF Model)</t>
  </si>
  <si>
    <t xml:space="preserve">Value / share — perpetuity method</t>
  </si>
  <si>
    <t xml:space="preserve">The two DCF methods bracket a value below the current price; COST trades ~30x EV/EBITDA and ~46x P/E, so the market prices in materially more long-term growth than a 5-yr + terminal DCF.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</si>
</sst>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\-mmm\-yyyy"/>
    <numFmt numFmtId="166" formatCode="0.0%;\(0.0%\);\-"/>
    <numFmt numFmtId="167" formatCode="#,##0;\(#,##0\);\-"/>
    <numFmt numFmtId="168" formatCode="\$#,##0.00;&quot;($&quot;#,##0.00\);\-"/>
    <numFmt numFmtId="169" formatCode="#,##0.0;\(#,##0.0\);\-"/>
    <numFmt numFmtId="170" formatCode="0.00%;\(0.00%\);\-"/>
    <numFmt numFmtId="171" formatCode="0.0\x"/>
    <numFmt numFmtId="172" formatCode="0.0"/>
    <numFmt numFmtId="173" formatCode="0.0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b val="true"/>
      <sz val="13"/>
      <color rgb="FF40404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8.5"/>
      <color rgb="FF80808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sz val="8.5"/>
      <color rgb="FF59595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i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21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21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5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1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21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1" fontId="21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5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2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2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5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2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8" fillId="6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2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5" fillId="6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2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1" fontId="2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1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5" fillId="6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2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9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9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30"/>
    <col collapsed="false" customWidth="true" hidden="false" outlineLevel="0" max="5" min="3" style="1" width="20"/>
    <col collapsed="false" customWidth="true" hidden="false" outlineLevel="0" max="6" min="6" style="1" width="18"/>
    <col collapsed="false" customWidth="true" hidden="false" outlineLevel="0" max="7" min="7" style="1" width="3"/>
  </cols>
  <sheetData>
    <row r="2" customFormat="false" ht="24.45" hidden="false" customHeight="false" outlineLevel="0" collapsed="false">
      <c r="B2" s="2" t="s">
        <v>0</v>
      </c>
    </row>
    <row r="3" customFormat="false" ht="16.15" hidden="false" customHeight="fals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5" t="s">
        <v>3</v>
      </c>
    </row>
    <row r="7" customFormat="false" ht="15" hidden="false" customHeight="false" outlineLevel="0" collapsed="false">
      <c r="B7" s="6" t="s">
        <v>4</v>
      </c>
      <c r="C7" s="7"/>
      <c r="D7" s="7"/>
      <c r="E7" s="7"/>
      <c r="F7" s="7"/>
    </row>
    <row r="8" customFormat="false" ht="15" hidden="false" customHeight="false" outlineLevel="0" collapsed="false">
      <c r="B8" s="8" t="s">
        <v>5</v>
      </c>
      <c r="C8" s="9" t="n">
        <f aca="false">Assumptions!C6</f>
        <v>45900</v>
      </c>
      <c r="D8" s="10"/>
      <c r="E8" s="10"/>
      <c r="F8" s="10"/>
    </row>
    <row r="9" customFormat="false" ht="15" hidden="false" customHeight="false" outlineLevel="0" collapsed="false">
      <c r="B9" s="8" t="s">
        <v>6</v>
      </c>
      <c r="C9" s="11" t="n">
        <f aca="false">WACC!C23</f>
        <v>0.0887182788551396</v>
      </c>
      <c r="D9" s="10"/>
      <c r="E9" s="10"/>
      <c r="F9" s="10"/>
    </row>
    <row r="10" customFormat="false" ht="15" hidden="false" customHeight="false" outlineLevel="0" collapsed="false">
      <c r="B10" s="8" t="s">
        <v>7</v>
      </c>
      <c r="C10" s="11" t="n">
        <f aca="false">Assumptions!C31</f>
        <v>0.03</v>
      </c>
      <c r="D10" s="10"/>
      <c r="E10" s="10"/>
      <c r="F10" s="10"/>
    </row>
    <row r="11" customFormat="false" ht="15" hidden="false" customHeight="false" outlineLevel="0" collapsed="false">
      <c r="B11" s="8" t="s">
        <v>8</v>
      </c>
      <c r="C11" s="12" t="n">
        <f aca="false">'DCF Model'!F35</f>
        <v>122046.459703103</v>
      </c>
      <c r="D11" s="10"/>
      <c r="E11" s="10"/>
      <c r="F11" s="10"/>
    </row>
    <row r="12" customFormat="false" ht="15" hidden="false" customHeight="false" outlineLevel="0" collapsed="false">
      <c r="B12" s="8" t="s">
        <v>9</v>
      </c>
      <c r="C12" s="12" t="n">
        <f aca="false">'DCF Model'!F38</f>
        <v>131542.459703103</v>
      </c>
      <c r="D12" s="10"/>
      <c r="E12" s="10"/>
      <c r="F12" s="10"/>
    </row>
    <row r="13" customFormat="false" ht="15" hidden="false" customHeight="false" outlineLevel="0" collapsed="false">
      <c r="B13" s="8" t="s">
        <v>10</v>
      </c>
      <c r="C13" s="13" t="n">
        <f aca="false">'DCF Model'!F40</f>
        <v>295.731952579239</v>
      </c>
      <c r="D13" s="10"/>
      <c r="E13" s="10"/>
      <c r="F13" s="10"/>
    </row>
    <row r="14" customFormat="false" ht="15" hidden="false" customHeight="false" outlineLevel="0" collapsed="false">
      <c r="B14" s="8" t="s">
        <v>11</v>
      </c>
      <c r="C14" s="13" t="n">
        <f aca="false">'DCF Model'!F54</f>
        <v>592.826042805172</v>
      </c>
      <c r="D14" s="10"/>
      <c r="E14" s="10"/>
      <c r="F14" s="10"/>
    </row>
    <row r="15" customFormat="false" ht="15" hidden="false" customHeight="false" outlineLevel="0" collapsed="false">
      <c r="B15" s="8" t="s">
        <v>12</v>
      </c>
      <c r="C15" s="13" t="n">
        <f aca="false">Assumptions!C7</f>
        <v>915</v>
      </c>
      <c r="D15" s="10"/>
      <c r="E15" s="10"/>
      <c r="F15" s="10"/>
    </row>
    <row r="16" customFormat="false" ht="15" hidden="false" customHeight="false" outlineLevel="0" collapsed="false">
      <c r="B16" s="8" t="s">
        <v>13</v>
      </c>
      <c r="C16" s="11" t="n">
        <f aca="false">'DCF Model'!F42</f>
        <v>-0.676795680241269</v>
      </c>
      <c r="D16" s="10"/>
      <c r="E16" s="10"/>
      <c r="F16" s="10"/>
    </row>
    <row r="17" customFormat="false" ht="24" hidden="false" customHeight="true" outlineLevel="0" collapsed="false">
      <c r="B17" s="14" t="s">
        <v>14</v>
      </c>
      <c r="C17" s="14"/>
      <c r="D17" s="14"/>
      <c r="E17" s="14"/>
      <c r="F17" s="14"/>
    </row>
    <row r="18" customFormat="false" ht="15" hidden="false" customHeight="false" outlineLevel="0" collapsed="false">
      <c r="B18" s="14"/>
      <c r="C18" s="14"/>
      <c r="D18" s="14"/>
      <c r="E18" s="14"/>
      <c r="F18" s="14"/>
    </row>
    <row r="20" customFormat="false" ht="15" hidden="false" customHeight="false" outlineLevel="0" collapsed="false">
      <c r="B20" s="15" t="s">
        <v>15</v>
      </c>
      <c r="C20" s="16"/>
      <c r="D20" s="16"/>
      <c r="E20" s="16"/>
      <c r="F20" s="16"/>
    </row>
    <row r="21" customFormat="false" ht="15" hidden="false" customHeight="false" outlineLevel="0" collapsed="false">
      <c r="B21" s="17" t="s">
        <v>16</v>
      </c>
      <c r="C21" s="18" t="s">
        <v>17</v>
      </c>
    </row>
    <row r="22" customFormat="false" ht="15" hidden="false" customHeight="false" outlineLevel="0" collapsed="false">
      <c r="B22" s="17" t="s">
        <v>18</v>
      </c>
      <c r="C22" s="18" t="s">
        <v>19</v>
      </c>
    </row>
    <row r="23" customFormat="false" ht="15" hidden="false" customHeight="false" outlineLevel="0" collapsed="false">
      <c r="B23" s="17" t="s">
        <v>20</v>
      </c>
      <c r="C23" s="18" t="s">
        <v>21</v>
      </c>
    </row>
    <row r="24" customFormat="false" ht="15" hidden="false" customHeight="false" outlineLevel="0" collapsed="false">
      <c r="B24" s="17" t="s">
        <v>22</v>
      </c>
      <c r="C24" s="18" t="s">
        <v>23</v>
      </c>
    </row>
    <row r="25" customFormat="false" ht="15" hidden="false" customHeight="false" outlineLevel="0" collapsed="false">
      <c r="B25" s="17" t="s">
        <v>24</v>
      </c>
      <c r="C25" s="18" t="s">
        <v>25</v>
      </c>
    </row>
    <row r="27" customFormat="false" ht="15" hidden="false" customHeight="false" outlineLevel="0" collapsed="false">
      <c r="B27" s="15" t="s">
        <v>26</v>
      </c>
      <c r="C27" s="16"/>
      <c r="D27" s="16"/>
      <c r="E27" s="16"/>
      <c r="F27" s="16"/>
    </row>
    <row r="28" customFormat="false" ht="15" hidden="false" customHeight="false" outlineLevel="0" collapsed="false">
      <c r="B28" s="19" t="s">
        <v>27</v>
      </c>
      <c r="C28" s="18" t="s">
        <v>28</v>
      </c>
    </row>
    <row r="29" customFormat="false" ht="15" hidden="false" customHeight="false" outlineLevel="0" collapsed="false">
      <c r="B29" s="20" t="s">
        <v>29</v>
      </c>
      <c r="C29" s="18" t="s">
        <v>30</v>
      </c>
    </row>
    <row r="30" customFormat="false" ht="15" hidden="false" customHeight="false" outlineLevel="0" collapsed="false">
      <c r="B30" s="21" t="s">
        <v>31</v>
      </c>
      <c r="C30" s="18" t="s">
        <v>32</v>
      </c>
    </row>
    <row r="31" customFormat="false" ht="15" hidden="false" customHeight="false" outlineLevel="0" collapsed="false">
      <c r="B31" s="22" t="s">
        <v>33</v>
      </c>
      <c r="C31" s="18" t="s">
        <v>34</v>
      </c>
    </row>
    <row r="33" customFormat="false" ht="15" hidden="false" customHeight="false" outlineLevel="0" collapsed="false">
      <c r="B33" s="23" t="s">
        <v>35</v>
      </c>
    </row>
    <row r="34" customFormat="false" ht="24" hidden="false" customHeight="true" outlineLevel="0" collapsed="false">
      <c r="B34" s="24" t="s">
        <v>36</v>
      </c>
      <c r="C34" s="24"/>
      <c r="D34" s="24"/>
      <c r="E34" s="24"/>
      <c r="F34" s="24"/>
    </row>
    <row r="35" customFormat="false" ht="24" hidden="false" customHeight="true" outlineLevel="0" collapsed="false">
      <c r="B35" s="24" t="s">
        <v>37</v>
      </c>
      <c r="C35" s="24"/>
      <c r="D35" s="24"/>
      <c r="E35" s="24"/>
      <c r="F35" s="24"/>
    </row>
    <row r="36" customFormat="false" ht="24" hidden="false" customHeight="true" outlineLevel="0" collapsed="false">
      <c r="B36" s="24" t="s">
        <v>38</v>
      </c>
      <c r="C36" s="24"/>
      <c r="D36" s="24"/>
      <c r="E36" s="24"/>
      <c r="F36" s="24"/>
    </row>
    <row r="37" customFormat="false" ht="24" hidden="false" customHeight="true" outlineLevel="0" collapsed="false">
      <c r="B37" s="24" t="s">
        <v>39</v>
      </c>
      <c r="C37" s="24"/>
      <c r="D37" s="24"/>
      <c r="E37" s="24"/>
      <c r="F37" s="24"/>
    </row>
    <row r="39" customFormat="false" ht="25.5" hidden="false" customHeight="true" outlineLevel="0" collapsed="false">
      <c r="B39" s="25" t="s">
        <v>40</v>
      </c>
      <c r="C39" s="25"/>
      <c r="D39" s="25"/>
      <c r="E39" s="25"/>
      <c r="F39" s="25"/>
    </row>
    <row r="40" customFormat="false" ht="15" hidden="false" customHeight="false" outlineLevel="0" collapsed="false">
      <c r="B40" s="25"/>
      <c r="C40" s="25"/>
      <c r="D40" s="25"/>
      <c r="E40" s="25"/>
      <c r="F40" s="25"/>
    </row>
  </sheetData>
  <mergeCells count="6">
    <mergeCell ref="B17:F18"/>
    <mergeCell ref="B34:F34"/>
    <mergeCell ref="B35:F35"/>
    <mergeCell ref="B36:F36"/>
    <mergeCell ref="B37:F37"/>
    <mergeCell ref="B39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42"/>
    <col collapsed="false" customWidth="true" hidden="false" outlineLevel="0" max="7" min="3" style="1" width="13"/>
  </cols>
  <sheetData>
    <row r="2" customFormat="false" ht="17.35" hidden="false" customHeight="false" outlineLevel="0" collapsed="false">
      <c r="B2" s="26" t="s">
        <v>41</v>
      </c>
    </row>
    <row r="3" customFormat="false" ht="15" hidden="false" customHeight="false" outlineLevel="0" collapsed="false">
      <c r="B3" s="5" t="s">
        <v>42</v>
      </c>
    </row>
    <row r="5" customFormat="false" ht="15" hidden="false" customHeight="false" outlineLevel="0" collapsed="false">
      <c r="B5" s="27" t="s">
        <v>43</v>
      </c>
      <c r="C5" s="16"/>
    </row>
    <row r="6" customFormat="false" ht="15" hidden="false" customHeight="false" outlineLevel="0" collapsed="false">
      <c r="B6" s="28" t="s">
        <v>44</v>
      </c>
      <c r="C6" s="29" t="n">
        <f aca="false">DATE(2025,8,31)</f>
        <v>45900</v>
      </c>
    </row>
    <row r="7" customFormat="false" ht="15" hidden="false" customHeight="false" outlineLevel="0" collapsed="false">
      <c r="B7" s="28" t="s">
        <v>45</v>
      </c>
      <c r="C7" s="30" t="n">
        <v>915</v>
      </c>
    </row>
    <row r="8" customFormat="false" ht="15" hidden="false" customHeight="false" outlineLevel="0" collapsed="false">
      <c r="B8" s="28" t="s">
        <v>46</v>
      </c>
      <c r="C8" s="31" t="n">
        <v>444.803</v>
      </c>
    </row>
    <row r="10" customFormat="false" ht="15" hidden="false" customHeight="false" outlineLevel="0" collapsed="false">
      <c r="B10" s="27" t="s">
        <v>47</v>
      </c>
      <c r="C10" s="16"/>
    </row>
    <row r="11" customFormat="false" ht="15" hidden="false" customHeight="false" outlineLevel="0" collapsed="false">
      <c r="B11" s="28" t="s">
        <v>48</v>
      </c>
      <c r="C11" s="32" t="n">
        <v>14161</v>
      </c>
    </row>
    <row r="12" customFormat="false" ht="15" hidden="false" customHeight="false" outlineLevel="0" collapsed="false">
      <c r="B12" s="28" t="s">
        <v>49</v>
      </c>
      <c r="C12" s="32" t="n">
        <v>1123</v>
      </c>
    </row>
    <row r="13" customFormat="false" ht="15" hidden="false" customHeight="false" outlineLevel="0" collapsed="false">
      <c r="B13" s="28" t="s">
        <v>50</v>
      </c>
      <c r="C13" s="32" t="n">
        <v>-5713</v>
      </c>
    </row>
    <row r="14" customFormat="false" ht="15" hidden="false" customHeight="false" outlineLevel="0" collapsed="false">
      <c r="B14" s="28" t="s">
        <v>51</v>
      </c>
      <c r="C14" s="32" t="n">
        <v>-75</v>
      </c>
    </row>
    <row r="15" customFormat="false" ht="15" hidden="false" customHeight="false" outlineLevel="0" collapsed="false">
      <c r="B15" s="20" t="s">
        <v>52</v>
      </c>
      <c r="C15" s="33" t="n">
        <f aca="false">SUM(C11:C14)</f>
        <v>9496</v>
      </c>
    </row>
    <row r="17" customFormat="false" ht="15" hidden="false" customHeight="false" outlineLevel="0" collapsed="false">
      <c r="B17" s="27" t="s">
        <v>53</v>
      </c>
      <c r="C17" s="16"/>
      <c r="D17" s="16"/>
      <c r="E17" s="16"/>
      <c r="F17" s="16"/>
      <c r="G17" s="16"/>
    </row>
    <row r="18" customFormat="false" ht="15" hidden="false" customHeight="false" outlineLevel="0" collapsed="false">
      <c r="B18" s="20" t="s">
        <v>54</v>
      </c>
      <c r="C18" s="34" t="s">
        <v>55</v>
      </c>
      <c r="D18" s="34" t="s">
        <v>56</v>
      </c>
      <c r="E18" s="34" t="s">
        <v>57</v>
      </c>
      <c r="F18" s="34" t="s">
        <v>58</v>
      </c>
      <c r="G18" s="34" t="s">
        <v>59</v>
      </c>
    </row>
    <row r="19" customFormat="false" ht="15" hidden="false" customHeight="false" outlineLevel="0" collapsed="false">
      <c r="B19" s="28" t="s">
        <v>60</v>
      </c>
      <c r="C19" s="35" t="n">
        <v>0.08</v>
      </c>
      <c r="D19" s="35" t="n">
        <v>0.075</v>
      </c>
      <c r="E19" s="35" t="n">
        <v>0.07</v>
      </c>
      <c r="F19" s="35" t="n">
        <v>0.065</v>
      </c>
      <c r="G19" s="35" t="n">
        <v>0.06</v>
      </c>
    </row>
    <row r="20" customFormat="false" ht="15" hidden="false" customHeight="false" outlineLevel="0" collapsed="false">
      <c r="B20" s="28" t="s">
        <v>61</v>
      </c>
      <c r="C20" s="35" t="n">
        <v>0.085</v>
      </c>
      <c r="D20" s="35" t="n">
        <v>0.08</v>
      </c>
      <c r="E20" s="35" t="n">
        <v>0.075</v>
      </c>
      <c r="F20" s="35" t="n">
        <v>0.07</v>
      </c>
      <c r="G20" s="35" t="n">
        <v>0.065</v>
      </c>
    </row>
    <row r="21" customFormat="false" ht="15" hidden="false" customHeight="false" outlineLevel="0" collapsed="false">
      <c r="B21" s="28" t="s">
        <v>62</v>
      </c>
      <c r="C21" s="36" t="n">
        <v>0.8885</v>
      </c>
      <c r="D21" s="36" t="n">
        <v>0.888</v>
      </c>
      <c r="E21" s="36" t="n">
        <v>0.8875</v>
      </c>
      <c r="F21" s="36" t="n">
        <v>0.887</v>
      </c>
      <c r="G21" s="36" t="n">
        <v>0.8865</v>
      </c>
    </row>
    <row r="22" customFormat="false" ht="15" hidden="false" customHeight="false" outlineLevel="0" collapsed="false">
      <c r="B22" s="28" t="s">
        <v>63</v>
      </c>
      <c r="C22" s="36" t="n">
        <v>0.0905</v>
      </c>
      <c r="D22" s="36" t="n">
        <v>0.0904</v>
      </c>
      <c r="E22" s="36" t="n">
        <v>0.0903</v>
      </c>
      <c r="F22" s="36" t="n">
        <v>0.0902</v>
      </c>
      <c r="G22" s="36" t="n">
        <v>0.0901</v>
      </c>
    </row>
    <row r="24" customFormat="false" ht="15" hidden="false" customHeight="false" outlineLevel="0" collapsed="false">
      <c r="B24" s="27" t="s">
        <v>64</v>
      </c>
      <c r="C24" s="16"/>
    </row>
    <row r="25" customFormat="false" ht="15" hidden="false" customHeight="false" outlineLevel="0" collapsed="false">
      <c r="B25" s="28" t="s">
        <v>65</v>
      </c>
      <c r="C25" s="36" t="n">
        <v>0.009</v>
      </c>
    </row>
    <row r="26" customFormat="false" ht="15" hidden="false" customHeight="false" outlineLevel="0" collapsed="false">
      <c r="B26" s="28" t="s">
        <v>66</v>
      </c>
      <c r="C26" s="36" t="n">
        <v>0.02</v>
      </c>
    </row>
    <row r="27" customFormat="false" ht="15" hidden="false" customHeight="false" outlineLevel="0" collapsed="false">
      <c r="B27" s="28" t="s">
        <v>67</v>
      </c>
      <c r="C27" s="36" t="n">
        <v>-0.03</v>
      </c>
    </row>
    <row r="28" customFormat="false" ht="15" hidden="false" customHeight="false" outlineLevel="0" collapsed="false">
      <c r="B28" s="28" t="s">
        <v>68</v>
      </c>
      <c r="C28" s="35" t="n">
        <v>0.25</v>
      </c>
    </row>
    <row r="30" customFormat="false" ht="15" hidden="false" customHeight="false" outlineLevel="0" collapsed="false">
      <c r="B30" s="27" t="s">
        <v>69</v>
      </c>
      <c r="C30" s="16"/>
    </row>
    <row r="31" customFormat="false" ht="15" hidden="false" customHeight="false" outlineLevel="0" collapsed="false">
      <c r="B31" s="28" t="s">
        <v>70</v>
      </c>
      <c r="C31" s="35" t="n">
        <v>0.03</v>
      </c>
    </row>
    <row r="32" customFormat="false" ht="15" hidden="false" customHeight="false" outlineLevel="0" collapsed="false">
      <c r="B32" s="28" t="s">
        <v>71</v>
      </c>
      <c r="C32" s="37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6"/>
  </cols>
  <sheetData>
    <row r="2" customFormat="false" ht="17.35" hidden="false" customHeight="false" outlineLevel="0" collapsed="false">
      <c r="B2" s="26" t="s">
        <v>72</v>
      </c>
    </row>
    <row r="3" customFormat="false" ht="15" hidden="false" customHeight="false" outlineLevel="0" collapsed="false">
      <c r="B3" s="5" t="s">
        <v>73</v>
      </c>
    </row>
    <row r="5" customFormat="false" ht="15" hidden="false" customHeight="false" outlineLevel="0" collapsed="false">
      <c r="B5" s="27" t="s">
        <v>74</v>
      </c>
      <c r="C5" s="16"/>
    </row>
    <row r="6" customFormat="false" ht="15" hidden="false" customHeight="false" outlineLevel="0" collapsed="false">
      <c r="B6" s="28" t="s">
        <v>75</v>
      </c>
      <c r="C6" s="38" t="n">
        <v>0.0455</v>
      </c>
    </row>
    <row r="7" customFormat="false" ht="15" hidden="false" customHeight="false" outlineLevel="0" collapsed="false">
      <c r="B7" s="28" t="s">
        <v>76</v>
      </c>
      <c r="C7" s="38" t="n">
        <v>0.05</v>
      </c>
    </row>
    <row r="8" customFormat="false" ht="15" hidden="false" customHeight="false" outlineLevel="0" collapsed="false">
      <c r="B8" s="28" t="s">
        <v>77</v>
      </c>
      <c r="C8" s="39" t="n">
        <v>0.88</v>
      </c>
    </row>
    <row r="9" customFormat="false" ht="15" hidden="false" customHeight="false" outlineLevel="0" collapsed="false">
      <c r="B9" s="20" t="s">
        <v>78</v>
      </c>
      <c r="C9" s="40" t="n">
        <f aca="false">C6+C8*C7</f>
        <v>0.0895</v>
      </c>
    </row>
    <row r="11" customFormat="false" ht="15" hidden="false" customHeight="false" outlineLevel="0" collapsed="false">
      <c r="B11" s="27" t="s">
        <v>79</v>
      </c>
      <c r="C11" s="16"/>
    </row>
    <row r="12" customFormat="false" ht="15" hidden="false" customHeight="false" outlineLevel="0" collapsed="false">
      <c r="B12" s="28" t="s">
        <v>80</v>
      </c>
      <c r="C12" s="38" t="n">
        <v>0.045</v>
      </c>
    </row>
    <row r="13" customFormat="false" ht="15" hidden="false" customHeight="false" outlineLevel="0" collapsed="false">
      <c r="B13" s="28" t="s">
        <v>68</v>
      </c>
      <c r="C13" s="41" t="n">
        <f aca="false">Assumptions!C28</f>
        <v>0.25</v>
      </c>
    </row>
    <row r="14" customFormat="false" ht="15" hidden="false" customHeight="false" outlineLevel="0" collapsed="false">
      <c r="B14" s="20" t="s">
        <v>81</v>
      </c>
      <c r="C14" s="40" t="n">
        <f aca="false">C12*(1-C13)</f>
        <v>0.03375</v>
      </c>
    </row>
    <row r="16" customFormat="false" ht="15" hidden="false" customHeight="false" outlineLevel="0" collapsed="false">
      <c r="B16" s="27" t="s">
        <v>82</v>
      </c>
      <c r="C16" s="16"/>
    </row>
    <row r="17" customFormat="false" ht="15" hidden="false" customHeight="false" outlineLevel="0" collapsed="false">
      <c r="B17" s="28" t="s">
        <v>83</v>
      </c>
      <c r="C17" s="42" t="n">
        <f aca="false">Assumptions!C7*Assumptions!C8</f>
        <v>406994.745</v>
      </c>
    </row>
    <row r="18" customFormat="false" ht="15" hidden="false" customHeight="false" outlineLevel="0" collapsed="false">
      <c r="B18" s="28" t="s">
        <v>84</v>
      </c>
      <c r="C18" s="42" t="n">
        <f aca="false">-(Assumptions!C13+Assumptions!C14)</f>
        <v>5788</v>
      </c>
    </row>
    <row r="19" customFormat="false" ht="15" hidden="false" customHeight="false" outlineLevel="0" collapsed="false">
      <c r="B19" s="20" t="s">
        <v>85</v>
      </c>
      <c r="C19" s="33" t="n">
        <f aca="false">C17+C18</f>
        <v>412782.745</v>
      </c>
    </row>
    <row r="20" customFormat="false" ht="15" hidden="false" customHeight="false" outlineLevel="0" collapsed="false">
      <c r="B20" s="28" t="s">
        <v>86</v>
      </c>
      <c r="C20" s="43" t="n">
        <f aca="false">C17/C19</f>
        <v>0.985978096056317</v>
      </c>
    </row>
    <row r="21" customFormat="false" ht="15" hidden="false" customHeight="false" outlineLevel="0" collapsed="false">
      <c r="B21" s="28" t="s">
        <v>87</v>
      </c>
      <c r="C21" s="43" t="n">
        <f aca="false">C18/C19</f>
        <v>0.0140219039436835</v>
      </c>
    </row>
    <row r="23" customFormat="false" ht="15" hidden="false" customHeight="false" outlineLevel="0" collapsed="false">
      <c r="B23" s="15" t="s">
        <v>88</v>
      </c>
      <c r="C23" s="44" t="n">
        <f aca="false">C20*C9+C21*C14</f>
        <v>0.0887182788551396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40"/>
    <col collapsed="false" customWidth="true" hidden="false" outlineLevel="0" max="7" min="3" style="1" width="12"/>
    <col collapsed="false" customWidth="true" hidden="false" outlineLevel="0" max="8" min="8" style="1" width="30"/>
  </cols>
  <sheetData>
    <row r="2" customFormat="false" ht="17.35" hidden="false" customHeight="false" outlineLevel="0" collapsed="false">
      <c r="B2" s="26" t="s">
        <v>89</v>
      </c>
    </row>
    <row r="3" customFormat="false" ht="15" hidden="false" customHeight="false" outlineLevel="0" collapsed="false">
      <c r="B3" s="5" t="s">
        <v>90</v>
      </c>
    </row>
    <row r="5" customFormat="false" ht="15" hidden="false" customHeight="false" outlineLevel="0" collapsed="false">
      <c r="B5" s="45" t="s">
        <v>91</v>
      </c>
      <c r="C5" s="34" t="s">
        <v>92</v>
      </c>
      <c r="D5" s="34" t="s">
        <v>93</v>
      </c>
      <c r="E5" s="34" t="s">
        <v>94</v>
      </c>
      <c r="F5" s="34" t="s">
        <v>95</v>
      </c>
      <c r="G5" s="34" t="s">
        <v>96</v>
      </c>
      <c r="H5" s="46" t="s">
        <v>97</v>
      </c>
    </row>
    <row r="6" customFormat="false" ht="15" hidden="false" customHeight="false" outlineLevel="0" collapsed="false">
      <c r="B6" s="27" t="s">
        <v>98</v>
      </c>
      <c r="C6" s="16"/>
      <c r="D6" s="16"/>
      <c r="E6" s="16"/>
      <c r="F6" s="16"/>
      <c r="G6" s="16"/>
      <c r="H6" s="16"/>
    </row>
    <row r="7" customFormat="false" ht="15" hidden="false" customHeight="false" outlineLevel="0" collapsed="false">
      <c r="B7" s="28" t="s">
        <v>99</v>
      </c>
      <c r="C7" s="32" t="n">
        <v>192052</v>
      </c>
      <c r="D7" s="32" t="n">
        <v>222730</v>
      </c>
      <c r="E7" s="32" t="n">
        <v>237710</v>
      </c>
      <c r="F7" s="32" t="n">
        <v>249625</v>
      </c>
      <c r="G7" s="32" t="n">
        <v>269912</v>
      </c>
      <c r="H7" s="47" t="s">
        <v>100</v>
      </c>
    </row>
    <row r="8" customFormat="false" ht="15" hidden="false" customHeight="false" outlineLevel="0" collapsed="false">
      <c r="B8" s="28" t="s">
        <v>101</v>
      </c>
      <c r="C8" s="32" t="n">
        <v>3877</v>
      </c>
      <c r="D8" s="32" t="n">
        <v>4224</v>
      </c>
      <c r="E8" s="32" t="n">
        <v>4580</v>
      </c>
      <c r="F8" s="32" t="n">
        <v>4828</v>
      </c>
      <c r="G8" s="32" t="n">
        <v>5323</v>
      </c>
      <c r="H8" s="47" t="s">
        <v>100</v>
      </c>
    </row>
    <row r="9" customFormat="false" ht="15" hidden="false" customHeight="false" outlineLevel="0" collapsed="false">
      <c r="B9" s="20" t="s">
        <v>102</v>
      </c>
      <c r="C9" s="33" t="n">
        <f aca="false">C7+C8</f>
        <v>195929</v>
      </c>
      <c r="D9" s="33" t="n">
        <f aca="false">D7+D8</f>
        <v>226954</v>
      </c>
      <c r="E9" s="33" t="n">
        <f aca="false">E7+E8</f>
        <v>242290</v>
      </c>
      <c r="F9" s="33" t="n">
        <f aca="false">F7+F8</f>
        <v>254453</v>
      </c>
      <c r="G9" s="33" t="n">
        <f aca="false">G7+G8</f>
        <v>275235</v>
      </c>
      <c r="H9" s="47" t="s">
        <v>103</v>
      </c>
    </row>
    <row r="10" customFormat="false" ht="15" hidden="false" customHeight="false" outlineLevel="0" collapsed="false">
      <c r="B10" s="28" t="s">
        <v>104</v>
      </c>
      <c r="C10" s="32" t="n">
        <v>170684</v>
      </c>
      <c r="D10" s="32" t="n">
        <v>199382</v>
      </c>
      <c r="E10" s="32" t="n">
        <v>212586</v>
      </c>
      <c r="F10" s="32" t="n">
        <v>222358</v>
      </c>
      <c r="G10" s="32" t="n">
        <v>239886</v>
      </c>
      <c r="H10" s="47" t="s">
        <v>100</v>
      </c>
    </row>
    <row r="11" customFormat="false" ht="15" hidden="false" customHeight="false" outlineLevel="0" collapsed="false">
      <c r="B11" s="28" t="s">
        <v>105</v>
      </c>
      <c r="C11" s="32" t="n">
        <v>18537</v>
      </c>
      <c r="D11" s="32" t="n">
        <v>19779</v>
      </c>
      <c r="E11" s="32" t="n">
        <v>21590</v>
      </c>
      <c r="F11" s="32" t="n">
        <v>22810</v>
      </c>
      <c r="G11" s="32" t="n">
        <v>24966</v>
      </c>
      <c r="H11" s="47" t="s">
        <v>100</v>
      </c>
    </row>
    <row r="12" customFormat="false" ht="15" hidden="false" customHeight="false" outlineLevel="0" collapsed="false">
      <c r="B12" s="20" t="s">
        <v>106</v>
      </c>
      <c r="C12" s="33" t="n">
        <f aca="false">C9-C10-C11</f>
        <v>6708</v>
      </c>
      <c r="D12" s="33" t="n">
        <f aca="false">D9-D10-D11</f>
        <v>7793</v>
      </c>
      <c r="E12" s="33" t="n">
        <f aca="false">E9-E10-E11</f>
        <v>8114</v>
      </c>
      <c r="F12" s="33" t="n">
        <f aca="false">F9-F10-F11</f>
        <v>9285</v>
      </c>
      <c r="G12" s="33" t="n">
        <f aca="false">G9-G10-G11</f>
        <v>10383</v>
      </c>
      <c r="H12" s="47" t="s">
        <v>107</v>
      </c>
    </row>
    <row r="13" customFormat="false" ht="15" hidden="false" customHeight="false" outlineLevel="0" collapsed="false">
      <c r="B13" s="48" t="s">
        <v>108</v>
      </c>
      <c r="C13" s="49" t="n">
        <f aca="false">C12/C9</f>
        <v>0.0342368919353439</v>
      </c>
      <c r="D13" s="49" t="n">
        <f aca="false">D12/D9</f>
        <v>0.03433735470624</v>
      </c>
      <c r="E13" s="49" t="n">
        <f aca="false">E12/E9</f>
        <v>0.03348879441991</v>
      </c>
      <c r="F13" s="49" t="n">
        <f aca="false">F12/F9</f>
        <v>0.0364900394178886</v>
      </c>
      <c r="G13" s="49" t="n">
        <f aca="false">G12/G9</f>
        <v>0.0377241266554036</v>
      </c>
      <c r="H13" s="47" t="s">
        <v>109</v>
      </c>
    </row>
    <row r="14" customFormat="false" ht="15" hidden="false" customHeight="false" outlineLevel="0" collapsed="false">
      <c r="B14" s="28" t="s">
        <v>110</v>
      </c>
      <c r="C14" s="32" t="n">
        <v>-171</v>
      </c>
      <c r="D14" s="32" t="n">
        <v>-158</v>
      </c>
      <c r="E14" s="32" t="n">
        <v>-160</v>
      </c>
      <c r="F14" s="32" t="n">
        <v>-169</v>
      </c>
      <c r="G14" s="32" t="n">
        <v>-154</v>
      </c>
      <c r="H14" s="47" t="s">
        <v>100</v>
      </c>
    </row>
    <row r="15" customFormat="false" ht="15" hidden="false" customHeight="false" outlineLevel="0" collapsed="false">
      <c r="B15" s="28" t="s">
        <v>111</v>
      </c>
      <c r="C15" s="32" t="n">
        <v>143</v>
      </c>
      <c r="D15" s="32" t="n">
        <v>205</v>
      </c>
      <c r="E15" s="32" t="n">
        <v>533</v>
      </c>
      <c r="F15" s="32" t="n">
        <v>624</v>
      </c>
      <c r="G15" s="32" t="n">
        <v>589</v>
      </c>
      <c r="H15" s="47" t="s">
        <v>100</v>
      </c>
    </row>
    <row r="16" customFormat="false" ht="15" hidden="false" customHeight="false" outlineLevel="0" collapsed="false">
      <c r="B16" s="20" t="s">
        <v>112</v>
      </c>
      <c r="C16" s="33" t="n">
        <f aca="false">C12+C14+C15</f>
        <v>6680</v>
      </c>
      <c r="D16" s="33" t="n">
        <f aca="false">D12+D14+D15</f>
        <v>7840</v>
      </c>
      <c r="E16" s="33" t="n">
        <f aca="false">E12+E14+E15</f>
        <v>8487</v>
      </c>
      <c r="F16" s="33" t="n">
        <f aca="false">F12+F14+F15</f>
        <v>9740</v>
      </c>
      <c r="G16" s="33" t="n">
        <f aca="false">G12+G14+G15</f>
        <v>10818</v>
      </c>
      <c r="H16" s="47" t="s">
        <v>113</v>
      </c>
    </row>
    <row r="17" customFormat="false" ht="15" hidden="false" customHeight="false" outlineLevel="0" collapsed="false">
      <c r="B17" s="28" t="s">
        <v>114</v>
      </c>
      <c r="C17" s="32" t="n">
        <v>-1601</v>
      </c>
      <c r="D17" s="32" t="n">
        <v>-1925</v>
      </c>
      <c r="E17" s="32" t="n">
        <v>-2195</v>
      </c>
      <c r="F17" s="32" t="n">
        <v>-2373</v>
      </c>
      <c r="G17" s="32" t="n">
        <v>-2719</v>
      </c>
      <c r="H17" s="47" t="s">
        <v>100</v>
      </c>
    </row>
    <row r="18" customFormat="false" ht="15" hidden="false" customHeight="false" outlineLevel="0" collapsed="false">
      <c r="B18" s="48" t="s">
        <v>115</v>
      </c>
      <c r="C18" s="43" t="n">
        <f aca="false">-C17/C16</f>
        <v>0.239670658682635</v>
      </c>
      <c r="D18" s="43" t="n">
        <f aca="false">-D17/D16</f>
        <v>0.245535714285714</v>
      </c>
      <c r="E18" s="43" t="n">
        <f aca="false">-E17/E16</f>
        <v>0.258630847178037</v>
      </c>
      <c r="F18" s="43" t="n">
        <f aca="false">-F17/F16</f>
        <v>0.243634496919918</v>
      </c>
      <c r="G18" s="43" t="n">
        <f aca="false">-G17/G16</f>
        <v>0.25134035866149</v>
      </c>
      <c r="H18" s="47" t="s">
        <v>116</v>
      </c>
    </row>
    <row r="19" customFormat="false" ht="15" hidden="false" customHeight="false" outlineLevel="0" collapsed="false">
      <c r="B19" s="20" t="s">
        <v>117</v>
      </c>
      <c r="C19" s="33" t="n">
        <f aca="false">C16+C17</f>
        <v>5079</v>
      </c>
      <c r="D19" s="33" t="n">
        <f aca="false">D16+D17</f>
        <v>5915</v>
      </c>
      <c r="E19" s="33" t="n">
        <f aca="false">E16+E17</f>
        <v>6292</v>
      </c>
      <c r="F19" s="33" t="n">
        <f aca="false">F16+F17</f>
        <v>7367</v>
      </c>
      <c r="G19" s="33" t="n">
        <f aca="false">G16+G17</f>
        <v>8099</v>
      </c>
      <c r="H19" s="47" t="s">
        <v>118</v>
      </c>
    </row>
    <row r="20" customFormat="false" ht="15" hidden="false" customHeight="false" outlineLevel="0" collapsed="false">
      <c r="B20" s="28" t="s">
        <v>119</v>
      </c>
      <c r="C20" s="32" t="n">
        <v>-72</v>
      </c>
      <c r="D20" s="32" t="n">
        <v>-71</v>
      </c>
      <c r="E20" s="32" t="n">
        <v>0</v>
      </c>
      <c r="F20" s="32" t="n">
        <v>0</v>
      </c>
      <c r="G20" s="32" t="n">
        <v>0</v>
      </c>
      <c r="H20" s="47" t="s">
        <v>120</v>
      </c>
    </row>
    <row r="21" customFormat="false" ht="15" hidden="false" customHeight="false" outlineLevel="0" collapsed="false">
      <c r="B21" s="20" t="s">
        <v>121</v>
      </c>
      <c r="C21" s="33" t="n">
        <f aca="false">C19+C20</f>
        <v>5007</v>
      </c>
      <c r="D21" s="33" t="n">
        <f aca="false">D19+D20</f>
        <v>5844</v>
      </c>
      <c r="E21" s="33" t="n">
        <f aca="false">E19+E20</f>
        <v>6292</v>
      </c>
      <c r="F21" s="33" t="n">
        <f aca="false">F19+F20</f>
        <v>7367</v>
      </c>
      <c r="G21" s="33" t="n">
        <f aca="false">G19+G20</f>
        <v>8099</v>
      </c>
      <c r="H21" s="47" t="s">
        <v>122</v>
      </c>
    </row>
    <row r="22" customFormat="false" ht="15" hidden="false" customHeight="false" outlineLevel="0" collapsed="false">
      <c r="B22" s="48" t="s">
        <v>123</v>
      </c>
      <c r="C22" s="50" t="n">
        <v>11.27</v>
      </c>
      <c r="D22" s="50" t="n">
        <v>13.14</v>
      </c>
      <c r="E22" s="50" t="n">
        <v>14.16</v>
      </c>
      <c r="F22" s="50" t="n">
        <v>16.56</v>
      </c>
      <c r="G22" s="50" t="n">
        <v>18.21</v>
      </c>
      <c r="H22" s="47" t="s">
        <v>124</v>
      </c>
    </row>
    <row r="23" customFormat="false" ht="15" hidden="false" customHeight="false" outlineLevel="0" collapsed="false">
      <c r="B23" s="48" t="s">
        <v>125</v>
      </c>
      <c r="C23" s="39" t="n">
        <v>444.3</v>
      </c>
      <c r="D23" s="39" t="n">
        <v>444.8</v>
      </c>
      <c r="E23" s="39" t="n">
        <v>444.4</v>
      </c>
      <c r="F23" s="39" t="n">
        <v>444.759</v>
      </c>
      <c r="G23" s="39" t="n">
        <v>444.803</v>
      </c>
      <c r="H23" s="47" t="s">
        <v>126</v>
      </c>
    </row>
    <row r="25" customFormat="false" ht="15" hidden="false" customHeight="false" outlineLevel="0" collapsed="false">
      <c r="B25" s="27" t="s">
        <v>127</v>
      </c>
      <c r="C25" s="16"/>
      <c r="D25" s="16"/>
      <c r="E25" s="16"/>
      <c r="F25" s="16"/>
      <c r="G25" s="16"/>
      <c r="H25" s="16"/>
    </row>
    <row r="26" customFormat="false" ht="15" hidden="false" customHeight="false" outlineLevel="0" collapsed="false">
      <c r="B26" s="28" t="s">
        <v>128</v>
      </c>
      <c r="C26" s="32" t="n">
        <v>1781</v>
      </c>
      <c r="D26" s="32" t="n">
        <v>1900</v>
      </c>
      <c r="E26" s="32" t="n">
        <v>2077</v>
      </c>
      <c r="F26" s="32" t="n">
        <v>2237</v>
      </c>
      <c r="G26" s="32" t="n">
        <v>2426</v>
      </c>
      <c r="H26" s="47" t="s">
        <v>129</v>
      </c>
    </row>
    <row r="27" customFormat="false" ht="15" hidden="false" customHeight="false" outlineLevel="0" collapsed="false">
      <c r="B27" s="28" t="s">
        <v>130</v>
      </c>
      <c r="C27" s="32" t="n">
        <v>665</v>
      </c>
      <c r="D27" s="32" t="n">
        <v>724</v>
      </c>
      <c r="E27" s="32" t="n">
        <v>774</v>
      </c>
      <c r="F27" s="32" t="n">
        <v>818</v>
      </c>
      <c r="G27" s="32" t="n">
        <v>860</v>
      </c>
      <c r="H27" s="47" t="s">
        <v>129</v>
      </c>
    </row>
    <row r="28" customFormat="false" ht="15" hidden="false" customHeight="false" outlineLevel="0" collapsed="false">
      <c r="B28" s="28" t="s">
        <v>131</v>
      </c>
      <c r="C28" s="32" t="n">
        <v>8958</v>
      </c>
      <c r="D28" s="32" t="n">
        <v>7392</v>
      </c>
      <c r="E28" s="32" t="n">
        <v>11068</v>
      </c>
      <c r="F28" s="32" t="n">
        <v>11339</v>
      </c>
      <c r="G28" s="32" t="n">
        <v>13335</v>
      </c>
      <c r="H28" s="47" t="s">
        <v>129</v>
      </c>
    </row>
    <row r="29" customFormat="false" ht="15" hidden="false" customHeight="false" outlineLevel="0" collapsed="false">
      <c r="B29" s="28" t="s">
        <v>132</v>
      </c>
      <c r="C29" s="32" t="n">
        <v>3588</v>
      </c>
      <c r="D29" s="32" t="n">
        <v>3891</v>
      </c>
      <c r="E29" s="32" t="n">
        <v>4323</v>
      </c>
      <c r="F29" s="32" t="n">
        <v>4710</v>
      </c>
      <c r="G29" s="32" t="n">
        <v>5498</v>
      </c>
      <c r="H29" s="47" t="s">
        <v>133</v>
      </c>
    </row>
    <row r="30" customFormat="false" ht="15" hidden="false" customHeight="false" outlineLevel="0" collapsed="false">
      <c r="B30" s="20" t="s">
        <v>134</v>
      </c>
      <c r="C30" s="33" t="n">
        <f aca="false">C28-C29</f>
        <v>5370</v>
      </c>
      <c r="D30" s="33" t="n">
        <f aca="false">D28-D29</f>
        <v>3501</v>
      </c>
      <c r="E30" s="33" t="n">
        <f aca="false">E28-E29</f>
        <v>6745</v>
      </c>
      <c r="F30" s="33" t="n">
        <f aca="false">F28-F29</f>
        <v>6629</v>
      </c>
      <c r="G30" s="33" t="n">
        <f aca="false">G28-G29</f>
        <v>7837</v>
      </c>
      <c r="H30" s="47" t="s">
        <v>135</v>
      </c>
    </row>
    <row r="32" customFormat="false" ht="15" hidden="false" customHeight="false" outlineLevel="0" collapsed="false">
      <c r="B32" s="27" t="s">
        <v>136</v>
      </c>
      <c r="C32" s="16"/>
      <c r="D32" s="16"/>
      <c r="E32" s="16"/>
      <c r="F32" s="16"/>
      <c r="G32" s="16"/>
      <c r="H32" s="16"/>
    </row>
    <row r="33" customFormat="false" ht="15" hidden="false" customHeight="false" outlineLevel="0" collapsed="false">
      <c r="B33" s="28" t="s">
        <v>48</v>
      </c>
      <c r="C33" s="32" t="n">
        <v>11258</v>
      </c>
      <c r="D33" s="32" t="n">
        <v>10203</v>
      </c>
      <c r="E33" s="32" t="n">
        <v>13700</v>
      </c>
      <c r="F33" s="32" t="n">
        <v>9906</v>
      </c>
      <c r="G33" s="32" t="n">
        <v>14161</v>
      </c>
      <c r="H33" s="47" t="s">
        <v>137</v>
      </c>
    </row>
    <row r="34" customFormat="false" ht="15" hidden="false" customHeight="false" outlineLevel="0" collapsed="false">
      <c r="B34" s="28" t="s">
        <v>49</v>
      </c>
      <c r="C34" s="32" t="n">
        <v>917</v>
      </c>
      <c r="D34" s="32" t="n">
        <v>846</v>
      </c>
      <c r="E34" s="32" t="n">
        <v>1534</v>
      </c>
      <c r="F34" s="32" t="n">
        <v>1238</v>
      </c>
      <c r="G34" s="32" t="n">
        <v>1123</v>
      </c>
      <c r="H34" s="47" t="s">
        <v>137</v>
      </c>
    </row>
    <row r="35" customFormat="false" ht="15" hidden="false" customHeight="false" outlineLevel="0" collapsed="false">
      <c r="B35" s="20" t="s">
        <v>138</v>
      </c>
      <c r="C35" s="33" t="n">
        <f aca="false">C33+C34</f>
        <v>12175</v>
      </c>
      <c r="D35" s="33" t="n">
        <f aca="false">D33+D34</f>
        <v>11049</v>
      </c>
      <c r="E35" s="33" t="n">
        <f aca="false">E33+E34</f>
        <v>15234</v>
      </c>
      <c r="F35" s="33" t="n">
        <f aca="false">F33+F34</f>
        <v>11144</v>
      </c>
      <c r="G35" s="33" t="n">
        <f aca="false">G33+G34</f>
        <v>15284</v>
      </c>
      <c r="H35" s="47" t="s">
        <v>139</v>
      </c>
    </row>
    <row r="36" customFormat="false" ht="15" hidden="false" customHeight="false" outlineLevel="0" collapsed="false">
      <c r="B36" s="28" t="s">
        <v>140</v>
      </c>
      <c r="C36" s="32" t="n">
        <v>6692</v>
      </c>
      <c r="D36" s="32" t="n">
        <v>6484</v>
      </c>
      <c r="E36" s="32" t="n">
        <v>5377</v>
      </c>
      <c r="F36" s="32" t="n">
        <v>5794</v>
      </c>
      <c r="G36" s="32" t="n">
        <v>5713</v>
      </c>
      <c r="H36" s="47" t="s">
        <v>137</v>
      </c>
    </row>
    <row r="37" customFormat="false" ht="15" hidden="false" customHeight="false" outlineLevel="0" collapsed="false">
      <c r="B37" s="28" t="s">
        <v>141</v>
      </c>
      <c r="C37" s="32" t="n">
        <v>17564</v>
      </c>
      <c r="D37" s="32" t="n">
        <v>20642</v>
      </c>
      <c r="E37" s="32" t="n">
        <v>25058</v>
      </c>
      <c r="F37" s="32" t="n">
        <v>23622</v>
      </c>
      <c r="G37" s="32" t="n">
        <v>29164</v>
      </c>
      <c r="H37" s="47" t="s">
        <v>137</v>
      </c>
    </row>
    <row r="39" customFormat="false" ht="15" hidden="false" customHeight="false" outlineLevel="0" collapsed="false">
      <c r="B39" s="51" t="s">
        <v>142</v>
      </c>
      <c r="C39" s="52" t="n">
        <f aca="false">(G9/C9)^(1/4)-1</f>
        <v>0.0886824812919718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40"/>
    <col collapsed="false" customWidth="true" hidden="false" outlineLevel="0" max="10" min="3" style="1" width="12"/>
  </cols>
  <sheetData>
    <row r="2" customFormat="false" ht="17.35" hidden="false" customHeight="false" outlineLevel="0" collapsed="false">
      <c r="B2" s="26" t="s">
        <v>143</v>
      </c>
    </row>
    <row r="3" customFormat="false" ht="15" hidden="false" customHeight="false" outlineLevel="0" collapsed="false">
      <c r="B3" s="5" t="s">
        <v>144</v>
      </c>
    </row>
    <row r="5" customFormat="false" ht="15" hidden="false" customHeight="false" outlineLevel="0" collapsed="false">
      <c r="B5" s="45" t="s">
        <v>145</v>
      </c>
      <c r="C5" s="34" t="s">
        <v>146</v>
      </c>
      <c r="D5" s="34" t="s">
        <v>147</v>
      </c>
      <c r="E5" s="34" t="s">
        <v>148</v>
      </c>
      <c r="F5" s="34" t="s">
        <v>149</v>
      </c>
      <c r="G5" s="34" t="s">
        <v>150</v>
      </c>
      <c r="H5" s="34" t="s">
        <v>151</v>
      </c>
      <c r="I5" s="34" t="s">
        <v>152</v>
      </c>
      <c r="J5" s="34" t="s">
        <v>153</v>
      </c>
    </row>
    <row r="6" customFormat="false" ht="15" hidden="false" customHeight="false" outlineLevel="0" collapsed="false">
      <c r="B6" s="28" t="s">
        <v>99</v>
      </c>
      <c r="C6" s="42" t="n">
        <f aca="false">Historicals!E7</f>
        <v>237710</v>
      </c>
      <c r="D6" s="42" t="n">
        <f aca="false">Historicals!F7</f>
        <v>249625</v>
      </c>
      <c r="E6" s="42" t="n">
        <f aca="false">Historicals!G7</f>
        <v>269912</v>
      </c>
      <c r="F6" s="53" t="n">
        <f aca="false">E6*(1+Assumptions!C$19)</f>
        <v>291504.96</v>
      </c>
      <c r="G6" s="53" t="n">
        <f aca="false">F6*(1+Assumptions!D$19)</f>
        <v>313367.832</v>
      </c>
      <c r="H6" s="53" t="n">
        <f aca="false">G6*(1+Assumptions!E$19)</f>
        <v>335303.58024</v>
      </c>
      <c r="I6" s="53" t="n">
        <f aca="false">H6*(1+Assumptions!F$19)</f>
        <v>357098.3129556</v>
      </c>
      <c r="J6" s="53" t="n">
        <f aca="false">I6*(1+Assumptions!G$19)</f>
        <v>378524.211732936</v>
      </c>
    </row>
    <row r="7" customFormat="false" ht="15" hidden="false" customHeight="false" outlineLevel="0" collapsed="false">
      <c r="B7" s="51" t="s">
        <v>154</v>
      </c>
      <c r="D7" s="52" t="n">
        <f aca="false">D6/C6-1</f>
        <v>0.0501241007950866</v>
      </c>
      <c r="E7" s="52" t="n">
        <f aca="false">E6/D6-1</f>
        <v>0.081269904857286</v>
      </c>
      <c r="F7" s="54" t="n">
        <f aca="false">Assumptions!C$19</f>
        <v>0.08</v>
      </c>
      <c r="G7" s="54" t="n">
        <f aca="false">Assumptions!D$19</f>
        <v>0.075</v>
      </c>
      <c r="H7" s="54" t="n">
        <f aca="false">Assumptions!E$19</f>
        <v>0.07</v>
      </c>
      <c r="I7" s="54" t="n">
        <f aca="false">Assumptions!F$19</f>
        <v>0.065</v>
      </c>
      <c r="J7" s="54" t="n">
        <f aca="false">Assumptions!G$19</f>
        <v>0.06</v>
      </c>
    </row>
    <row r="8" customFormat="false" ht="15" hidden="false" customHeight="false" outlineLevel="0" collapsed="false">
      <c r="B8" s="28" t="s">
        <v>101</v>
      </c>
      <c r="C8" s="42" t="n">
        <f aca="false">Historicals!E8</f>
        <v>4580</v>
      </c>
      <c r="D8" s="42" t="n">
        <f aca="false">Historicals!F8</f>
        <v>4828</v>
      </c>
      <c r="E8" s="42" t="n">
        <f aca="false">Historicals!G8</f>
        <v>5323</v>
      </c>
      <c r="F8" s="53" t="n">
        <f aca="false">E8*(1+Assumptions!C$20)</f>
        <v>5775.455</v>
      </c>
      <c r="G8" s="53" t="n">
        <f aca="false">F8*(1+Assumptions!D$20)</f>
        <v>6237.4914</v>
      </c>
      <c r="H8" s="53" t="n">
        <f aca="false">G8*(1+Assumptions!E$20)</f>
        <v>6705.303255</v>
      </c>
      <c r="I8" s="53" t="n">
        <f aca="false">H8*(1+Assumptions!F$20)</f>
        <v>7174.67448285</v>
      </c>
      <c r="J8" s="53" t="n">
        <f aca="false">I8*(1+Assumptions!G$20)</f>
        <v>7641.02832423525</v>
      </c>
    </row>
    <row r="9" customFormat="false" ht="15" hidden="false" customHeight="false" outlineLevel="0" collapsed="false">
      <c r="B9" s="51" t="s">
        <v>154</v>
      </c>
      <c r="F9" s="54" t="n">
        <f aca="false">Assumptions!C$20</f>
        <v>0.085</v>
      </c>
      <c r="G9" s="54" t="n">
        <f aca="false">Assumptions!D$20</f>
        <v>0.08</v>
      </c>
      <c r="H9" s="54" t="n">
        <f aca="false">Assumptions!E$20</f>
        <v>0.075</v>
      </c>
      <c r="I9" s="54" t="n">
        <f aca="false">Assumptions!F$20</f>
        <v>0.07</v>
      </c>
      <c r="J9" s="54" t="n">
        <f aca="false">Assumptions!G$20</f>
        <v>0.065</v>
      </c>
    </row>
    <row r="10" customFormat="false" ht="15" hidden="false" customHeight="false" outlineLevel="0" collapsed="false">
      <c r="B10" s="20" t="s">
        <v>102</v>
      </c>
      <c r="C10" s="33" t="n">
        <f aca="false">C6+C8</f>
        <v>242290</v>
      </c>
      <c r="D10" s="33" t="n">
        <f aca="false">D6+D8</f>
        <v>254453</v>
      </c>
      <c r="E10" s="33" t="n">
        <f aca="false">E6+E8</f>
        <v>275235</v>
      </c>
      <c r="F10" s="33" t="n">
        <f aca="false">F6+F8</f>
        <v>297280.415</v>
      </c>
      <c r="G10" s="33" t="n">
        <f aca="false">G6+G8</f>
        <v>319605.3234</v>
      </c>
      <c r="H10" s="33" t="n">
        <f aca="false">H6+H8</f>
        <v>342008.883495</v>
      </c>
      <c r="I10" s="33" t="n">
        <f aca="false">I6+I8</f>
        <v>364272.98743845</v>
      </c>
      <c r="J10" s="33" t="n">
        <f aca="false">J6+J8</f>
        <v>386165.240057171</v>
      </c>
    </row>
    <row r="11" customFormat="false" ht="15" hidden="false" customHeight="false" outlineLevel="0" collapsed="false">
      <c r="B11" s="51" t="s">
        <v>154</v>
      </c>
      <c r="D11" s="52" t="n">
        <f aca="false">D10/C10-1</f>
        <v>0.0502001733459903</v>
      </c>
      <c r="E11" s="52" t="n">
        <f aca="false">E10/D10-1</f>
        <v>0.0816732363147614</v>
      </c>
      <c r="F11" s="52" t="n">
        <f aca="false">F10/E10-1</f>
        <v>0.0800966991843335</v>
      </c>
      <c r="G11" s="52" t="n">
        <f aca="false">G10/F10-1</f>
        <v>0.0750971381683518</v>
      </c>
      <c r="H11" s="52" t="n">
        <f aca="false">H10/G10-1</f>
        <v>0.0700975811562468</v>
      </c>
      <c r="I11" s="52" t="n">
        <f aca="false">I10/H10-1</f>
        <v>0.0650980282030467</v>
      </c>
      <c r="J11" s="52" t="n">
        <f aca="false">J10/I10-1</f>
        <v>0.0600984793647932</v>
      </c>
    </row>
    <row r="12" customFormat="false" ht="15" hidden="false" customHeight="false" outlineLevel="0" collapsed="false">
      <c r="B12" s="28" t="s">
        <v>155</v>
      </c>
      <c r="C12" s="42" t="n">
        <f aca="false">-Historicals!E10</f>
        <v>-212586</v>
      </c>
      <c r="D12" s="42" t="n">
        <f aca="false">-Historicals!F10</f>
        <v>-222358</v>
      </c>
      <c r="E12" s="42" t="n">
        <f aca="false">-Historicals!G10</f>
        <v>-239886</v>
      </c>
      <c r="F12" s="53" t="n">
        <f aca="false">-F6*Assumptions!C$21</f>
        <v>-259002.15696</v>
      </c>
      <c r="G12" s="53" t="n">
        <f aca="false">-G6*Assumptions!D$21</f>
        <v>-278270.634816</v>
      </c>
      <c r="H12" s="53" t="n">
        <f aca="false">-H6*Assumptions!E$21</f>
        <v>-297581.927463</v>
      </c>
      <c r="I12" s="53" t="n">
        <f aca="false">-I6*Assumptions!F$21</f>
        <v>-316746.203591617</v>
      </c>
      <c r="J12" s="53" t="n">
        <f aca="false">-J6*Assumptions!G$21</f>
        <v>-335561.713701248</v>
      </c>
    </row>
    <row r="13" customFormat="false" ht="15" hidden="false" customHeight="false" outlineLevel="0" collapsed="false">
      <c r="B13" s="51" t="s">
        <v>156</v>
      </c>
      <c r="C13" s="55" t="n">
        <f aca="false">-C12/C6</f>
        <v>0.894308190652476</v>
      </c>
      <c r="D13" s="55" t="n">
        <f aca="false">-D12/D6</f>
        <v>0.890768152228343</v>
      </c>
      <c r="E13" s="55" t="n">
        <f aca="false">-E12/E6</f>
        <v>0.888756335398204</v>
      </c>
      <c r="F13" s="55" t="n">
        <f aca="false">-F12/F6</f>
        <v>0.8885</v>
      </c>
      <c r="G13" s="55" t="n">
        <f aca="false">-G12/G6</f>
        <v>0.888</v>
      </c>
      <c r="H13" s="55" t="n">
        <f aca="false">-H12/H6</f>
        <v>0.8875</v>
      </c>
      <c r="I13" s="55" t="n">
        <f aca="false">-I12/I6</f>
        <v>0.887</v>
      </c>
      <c r="J13" s="55" t="n">
        <f aca="false">-J12/J6</f>
        <v>0.8865</v>
      </c>
    </row>
    <row r="14" customFormat="false" ht="15" hidden="false" customHeight="false" outlineLevel="0" collapsed="false">
      <c r="B14" s="28" t="s">
        <v>157</v>
      </c>
      <c r="C14" s="42" t="n">
        <f aca="false">-Historicals!E11</f>
        <v>-21590</v>
      </c>
      <c r="D14" s="42" t="n">
        <f aca="false">-Historicals!F11</f>
        <v>-22810</v>
      </c>
      <c r="E14" s="42" t="n">
        <f aca="false">-Historicals!G11</f>
        <v>-24966</v>
      </c>
      <c r="F14" s="53" t="n">
        <f aca="false">-F10*Assumptions!C$22</f>
        <v>-26903.8775575</v>
      </c>
      <c r="G14" s="53" t="n">
        <f aca="false">-G10*Assumptions!D$22</f>
        <v>-28892.32123536</v>
      </c>
      <c r="H14" s="53" t="n">
        <f aca="false">-H10*Assumptions!E$22</f>
        <v>-30883.4021795985</v>
      </c>
      <c r="I14" s="53" t="n">
        <f aca="false">-I10*Assumptions!F$22</f>
        <v>-32857.4234669482</v>
      </c>
      <c r="J14" s="53" t="n">
        <f aca="false">-J10*Assumptions!G$22</f>
        <v>-34793.4881291511</v>
      </c>
    </row>
    <row r="15" customFormat="false" ht="15" hidden="false" customHeight="false" outlineLevel="0" collapsed="false">
      <c r="B15" s="51" t="s">
        <v>158</v>
      </c>
      <c r="C15" s="55" t="n">
        <f aca="false">-C14/C10</f>
        <v>0.0891080936068348</v>
      </c>
      <c r="D15" s="55" t="n">
        <f aca="false">-D14/D10</f>
        <v>0.0896432740034505</v>
      </c>
      <c r="E15" s="55" t="n">
        <f aca="false">-E14/E10</f>
        <v>0.09070794048722</v>
      </c>
      <c r="F15" s="55" t="n">
        <f aca="false">-F14/F10</f>
        <v>0.0905</v>
      </c>
      <c r="G15" s="55" t="n">
        <f aca="false">-G14/G10</f>
        <v>0.0904</v>
      </c>
      <c r="H15" s="55" t="n">
        <f aca="false">-H14/H10</f>
        <v>0.0903</v>
      </c>
      <c r="I15" s="55" t="n">
        <f aca="false">-I14/I10</f>
        <v>0.0902</v>
      </c>
      <c r="J15" s="55" t="n">
        <f aca="false">-J14/J10</f>
        <v>0.0901</v>
      </c>
    </row>
    <row r="16" customFormat="false" ht="15" hidden="false" customHeight="false" outlineLevel="0" collapsed="false">
      <c r="B16" s="56" t="s">
        <v>159</v>
      </c>
      <c r="C16" s="57" t="n">
        <f aca="false">C10+C12+C14</f>
        <v>8114</v>
      </c>
      <c r="D16" s="57" t="n">
        <f aca="false">D10+D12+D14</f>
        <v>9285</v>
      </c>
      <c r="E16" s="57" t="n">
        <f aca="false">E10+E12+E14</f>
        <v>10383</v>
      </c>
      <c r="F16" s="57" t="n">
        <f aca="false">F10+F12+F14</f>
        <v>11374.3804825</v>
      </c>
      <c r="G16" s="57" t="n">
        <f aca="false">G10+G12+G14</f>
        <v>12442.36734864</v>
      </c>
      <c r="H16" s="57" t="n">
        <f aca="false">H10+H12+H14</f>
        <v>13543.5538524015</v>
      </c>
      <c r="I16" s="57" t="n">
        <f aca="false">I10+I12+I14</f>
        <v>14669.3603798846</v>
      </c>
      <c r="J16" s="57" t="n">
        <f aca="false">J10+J12+J14</f>
        <v>15810.0382267724</v>
      </c>
    </row>
    <row r="17" customFormat="false" ht="15" hidden="false" customHeight="false" outlineLevel="0" collapsed="false">
      <c r="B17" s="51" t="s">
        <v>160</v>
      </c>
      <c r="C17" s="55" t="n">
        <f aca="false">C16/C10</f>
        <v>0.03348879441991</v>
      </c>
      <c r="D17" s="55" t="n">
        <f aca="false">D16/D10</f>
        <v>0.0364900394178886</v>
      </c>
      <c r="E17" s="55" t="n">
        <f aca="false">E16/E10</f>
        <v>0.0377241266554036</v>
      </c>
      <c r="F17" s="55" t="n">
        <f aca="false">F16/F10</f>
        <v>0.0382614525161371</v>
      </c>
      <c r="G17" s="55" t="n">
        <f aca="false">G16/G10</f>
        <v>0.0389304133494292</v>
      </c>
      <c r="H17" s="55" t="n">
        <f aca="false">H16/H10</f>
        <v>0.0396000060407773</v>
      </c>
      <c r="I17" s="55" t="n">
        <f aca="false">I16/I10</f>
        <v>0.0402702393143089</v>
      </c>
      <c r="J17" s="55" t="n">
        <f aca="false">J16/J10</f>
        <v>0.0409411220555007</v>
      </c>
    </row>
    <row r="18" customFormat="false" ht="15" hidden="false" customHeight="false" outlineLevel="0" collapsed="false">
      <c r="B18" s="28" t="s">
        <v>161</v>
      </c>
      <c r="F18" s="53" t="n">
        <f aca="false">-F16*Assumptions!$C28</f>
        <v>-2843.59512062501</v>
      </c>
      <c r="G18" s="53" t="n">
        <f aca="false">-G16*Assumptions!$C28</f>
        <v>-3110.59183716</v>
      </c>
      <c r="H18" s="53" t="n">
        <f aca="false">-H16*Assumptions!$C28</f>
        <v>-3385.88846310038</v>
      </c>
      <c r="I18" s="53" t="n">
        <f aca="false">-I16*Assumptions!$C28</f>
        <v>-3667.34009497115</v>
      </c>
      <c r="J18" s="53" t="n">
        <f aca="false">-J16*Assumptions!$C28</f>
        <v>-3952.50955669309</v>
      </c>
    </row>
    <row r="19" customFormat="false" ht="15" hidden="false" customHeight="false" outlineLevel="0" collapsed="false">
      <c r="B19" s="20" t="s">
        <v>162</v>
      </c>
      <c r="F19" s="33" t="n">
        <f aca="false">F16+F18</f>
        <v>8530.78536187503</v>
      </c>
      <c r="G19" s="33" t="n">
        <f aca="false">G16+G18</f>
        <v>9331.77551147999</v>
      </c>
      <c r="H19" s="33" t="n">
        <f aca="false">H16+H18</f>
        <v>10157.6653893011</v>
      </c>
      <c r="I19" s="33" t="n">
        <f aca="false">I16+I18</f>
        <v>11002.0202849135</v>
      </c>
      <c r="J19" s="33" t="n">
        <f aca="false">J16+J18</f>
        <v>11857.5286700793</v>
      </c>
    </row>
    <row r="20" customFormat="false" ht="15" hidden="false" customHeight="false" outlineLevel="0" collapsed="false">
      <c r="B20" s="28" t="s">
        <v>163</v>
      </c>
      <c r="F20" s="53" t="n">
        <f aca="false">F10*Assumptions!$C25</f>
        <v>2675.523735</v>
      </c>
      <c r="G20" s="53" t="n">
        <f aca="false">G10*Assumptions!$C25</f>
        <v>2876.4479106</v>
      </c>
      <c r="H20" s="53" t="n">
        <f aca="false">H10*Assumptions!$C25</f>
        <v>3078.079951455</v>
      </c>
      <c r="I20" s="53" t="n">
        <f aca="false">I10*Assumptions!$C25</f>
        <v>3278.45688694605</v>
      </c>
      <c r="J20" s="53" t="n">
        <f aca="false">J10*Assumptions!$C25</f>
        <v>3475.48716051454</v>
      </c>
    </row>
    <row r="21" customFormat="false" ht="15" hidden="false" customHeight="false" outlineLevel="0" collapsed="false">
      <c r="B21" s="28" t="s">
        <v>164</v>
      </c>
      <c r="F21" s="53" t="n">
        <f aca="false">-F10*Assumptions!$C26</f>
        <v>-5945.6083</v>
      </c>
      <c r="G21" s="53" t="n">
        <f aca="false">-G10*Assumptions!$C26</f>
        <v>-6392.106468</v>
      </c>
      <c r="H21" s="53" t="n">
        <f aca="false">-H10*Assumptions!$C26</f>
        <v>-6840.1776699</v>
      </c>
      <c r="I21" s="53" t="n">
        <f aca="false">-I10*Assumptions!$C26</f>
        <v>-7285.459748769</v>
      </c>
      <c r="J21" s="53" t="n">
        <f aca="false">-J10*Assumptions!$C26</f>
        <v>-7723.30480114343</v>
      </c>
    </row>
    <row r="22" customFormat="false" ht="15" hidden="false" customHeight="false" outlineLevel="0" collapsed="false">
      <c r="B22" s="51" t="s">
        <v>165</v>
      </c>
      <c r="E22" s="58" t="n">
        <f aca="false">E10*Assumptions!$C27</f>
        <v>-8257.05</v>
      </c>
      <c r="F22" s="58" t="n">
        <f aca="false">F10*Assumptions!$C27</f>
        <v>-8918.41245</v>
      </c>
      <c r="G22" s="58" t="n">
        <f aca="false">G10*Assumptions!$C27</f>
        <v>-9588.159702</v>
      </c>
      <c r="H22" s="58" t="n">
        <f aca="false">H10*Assumptions!$C27</f>
        <v>-10260.26650485</v>
      </c>
      <c r="I22" s="58" t="n">
        <f aca="false">I10*Assumptions!$C27</f>
        <v>-10928.1896231535</v>
      </c>
      <c r="J22" s="58" t="n">
        <f aca="false">J10*Assumptions!$C27</f>
        <v>-11584.9572017151</v>
      </c>
    </row>
    <row r="23" customFormat="false" ht="15" hidden="false" customHeight="false" outlineLevel="0" collapsed="false">
      <c r="B23" s="28" t="s">
        <v>166</v>
      </c>
      <c r="F23" s="53" t="n">
        <f aca="false">E22-F22</f>
        <v>661.362450000002</v>
      </c>
      <c r="G23" s="53" t="n">
        <f aca="false">F22-G22</f>
        <v>669.747251999997</v>
      </c>
      <c r="H23" s="53" t="n">
        <f aca="false">G22-H22</f>
        <v>672.106802850001</v>
      </c>
      <c r="I23" s="53" t="n">
        <f aca="false">H22-I22</f>
        <v>667.923118303501</v>
      </c>
      <c r="J23" s="53" t="n">
        <f aca="false">I22-J22</f>
        <v>656.767578561636</v>
      </c>
    </row>
    <row r="24" customFormat="false" ht="15" hidden="false" customHeight="false" outlineLevel="0" collapsed="false">
      <c r="B24" s="59" t="s">
        <v>167</v>
      </c>
      <c r="C24" s="60"/>
      <c r="D24" s="60"/>
      <c r="E24" s="60"/>
      <c r="F24" s="61" t="n">
        <f aca="false">F19+F20+F21+F23</f>
        <v>5922.06324687503</v>
      </c>
      <c r="G24" s="61" t="n">
        <f aca="false">G19+G20+G21+G23</f>
        <v>6485.86420607999</v>
      </c>
      <c r="H24" s="61" t="n">
        <f aca="false">H19+H20+H21+H23</f>
        <v>7067.67447370614</v>
      </c>
      <c r="I24" s="61" t="n">
        <f aca="false">I19+I20+I21+I23</f>
        <v>7662.94054139401</v>
      </c>
      <c r="J24" s="61" t="n">
        <f aca="false">J19+J20+J21+J23</f>
        <v>8266.47860801203</v>
      </c>
    </row>
    <row r="25" customFormat="false" ht="15" hidden="false" customHeight="false" outlineLevel="0" collapsed="false">
      <c r="B25" s="28" t="s">
        <v>168</v>
      </c>
      <c r="F25" s="62" t="n">
        <v>1</v>
      </c>
      <c r="G25" s="62" t="n">
        <v>2</v>
      </c>
      <c r="H25" s="62" t="n">
        <v>3</v>
      </c>
      <c r="I25" s="62" t="n">
        <v>4</v>
      </c>
      <c r="J25" s="62" t="n">
        <v>5</v>
      </c>
    </row>
    <row r="26" customFormat="false" ht="15" hidden="false" customHeight="false" outlineLevel="0" collapsed="false">
      <c r="B26" s="28" t="s">
        <v>169</v>
      </c>
      <c r="F26" s="63" t="n">
        <f aca="false">1/(1+WACC!$C23)^F25</f>
        <v>0.918511261748601</v>
      </c>
      <c r="G26" s="63" t="n">
        <f aca="false">1/(1+WACC!$C23)^G25</f>
        <v>0.843662937959008</v>
      </c>
      <c r="H26" s="63" t="n">
        <f aca="false">1/(1+WACC!$C23)^H25</f>
        <v>0.77491390963526</v>
      </c>
      <c r="I26" s="63" t="n">
        <f aca="false">1/(1+WACC!$C23)^I25</f>
        <v>0.711767152885624</v>
      </c>
      <c r="J26" s="63" t="n">
        <f aca="false">1/(1+WACC!$C23)^J25</f>
        <v>0.653766145668185</v>
      </c>
    </row>
    <row r="27" customFormat="false" ht="15" hidden="false" customHeight="false" outlineLevel="0" collapsed="false">
      <c r="B27" s="20" t="s">
        <v>170</v>
      </c>
      <c r="F27" s="64" t="n">
        <f aca="false">F24*F26</f>
        <v>5439.48178504221</v>
      </c>
      <c r="G27" s="64" t="n">
        <f aca="false">G24*G26</f>
        <v>5471.88325130461</v>
      </c>
      <c r="H27" s="64" t="n">
        <f aca="false">H24*H26</f>
        <v>5476.83925844895</v>
      </c>
      <c r="I27" s="64" t="n">
        <f aca="false">I24*I26</f>
        <v>5454.22937187984</v>
      </c>
      <c r="J27" s="64" t="n">
        <f aca="false">J24*J26</f>
        <v>5404.34385780852</v>
      </c>
    </row>
    <row r="29" customFormat="false" ht="15" hidden="false" customHeight="false" outlineLevel="0" collapsed="false">
      <c r="B29" s="15" t="s">
        <v>171</v>
      </c>
      <c r="C29" s="16"/>
      <c r="D29" s="16"/>
      <c r="E29" s="16"/>
      <c r="F29" s="16"/>
    </row>
    <row r="30" customFormat="false" ht="15" hidden="false" customHeight="false" outlineLevel="0" collapsed="false">
      <c r="B30" s="20" t="s">
        <v>172</v>
      </c>
      <c r="F30" s="64" t="n">
        <f aca="false">SUM(F27:J27)</f>
        <v>27246.7775244841</v>
      </c>
    </row>
    <row r="31" customFormat="false" ht="15" hidden="false" customHeight="false" outlineLevel="0" collapsed="false">
      <c r="B31" s="28" t="s">
        <v>173</v>
      </c>
      <c r="F31" s="41" t="n">
        <f aca="false">Assumptions!C31</f>
        <v>0.03</v>
      </c>
    </row>
    <row r="32" customFormat="false" ht="15" hidden="false" customHeight="false" outlineLevel="0" collapsed="false">
      <c r="B32" s="28" t="s">
        <v>174</v>
      </c>
      <c r="F32" s="53" t="n">
        <f aca="false">J24*(1+F31)</f>
        <v>8514.47296625239</v>
      </c>
    </row>
    <row r="33" customFormat="false" ht="15" hidden="false" customHeight="false" outlineLevel="0" collapsed="false">
      <c r="B33" s="28" t="s">
        <v>175</v>
      </c>
      <c r="F33" s="53" t="n">
        <f aca="false">J24*(1+F31)/(WACC!$C23-F31)</f>
        <v>145005.492876553</v>
      </c>
    </row>
    <row r="34" customFormat="false" ht="15" hidden="false" customHeight="false" outlineLevel="0" collapsed="false">
      <c r="B34" s="20" t="s">
        <v>176</v>
      </c>
      <c r="F34" s="64" t="n">
        <f aca="false">F33*J26</f>
        <v>94799.6821786193</v>
      </c>
    </row>
    <row r="35" customFormat="false" ht="15" hidden="false" customHeight="false" outlineLevel="0" collapsed="false">
      <c r="B35" s="20" t="s">
        <v>177</v>
      </c>
      <c r="F35" s="33" t="n">
        <f aca="false">F30+F34</f>
        <v>122046.459703103</v>
      </c>
    </row>
    <row r="36" customFormat="false" ht="15" hidden="false" customHeight="false" outlineLevel="0" collapsed="false">
      <c r="B36" s="28" t="s">
        <v>178</v>
      </c>
      <c r="F36" s="65" t="n">
        <f aca="false">F34/F35</f>
        <v>0.776750775149348</v>
      </c>
    </row>
    <row r="37" customFormat="false" ht="15" hidden="false" customHeight="false" outlineLevel="0" collapsed="false">
      <c r="B37" s="28" t="s">
        <v>179</v>
      </c>
      <c r="F37" s="42" t="n">
        <f aca="false">Assumptions!C15</f>
        <v>9496</v>
      </c>
    </row>
    <row r="38" customFormat="false" ht="15" hidden="false" customHeight="false" outlineLevel="0" collapsed="false">
      <c r="B38" s="20" t="s">
        <v>9</v>
      </c>
      <c r="F38" s="33" t="n">
        <f aca="false">F35+F37</f>
        <v>131542.459703103</v>
      </c>
    </row>
    <row r="39" customFormat="false" ht="15" hidden="false" customHeight="false" outlineLevel="0" collapsed="false">
      <c r="B39" s="28" t="s">
        <v>180</v>
      </c>
      <c r="F39" s="66" t="n">
        <f aca="false">Assumptions!C8</f>
        <v>444.803</v>
      </c>
    </row>
    <row r="40" customFormat="false" ht="15" hidden="false" customHeight="false" outlineLevel="0" collapsed="false">
      <c r="B40" s="20" t="s">
        <v>181</v>
      </c>
      <c r="F40" s="67" t="n">
        <f aca="false">F38/F39</f>
        <v>295.731952579239</v>
      </c>
    </row>
    <row r="41" customFormat="false" ht="15" hidden="false" customHeight="false" outlineLevel="0" collapsed="false">
      <c r="B41" s="28" t="s">
        <v>12</v>
      </c>
      <c r="F41" s="68" t="n">
        <f aca="false">Assumptions!C7</f>
        <v>915</v>
      </c>
    </row>
    <row r="42" customFormat="false" ht="15" hidden="false" customHeight="false" outlineLevel="0" collapsed="false">
      <c r="B42" s="20" t="s">
        <v>182</v>
      </c>
      <c r="F42" s="69" t="n">
        <f aca="false">F40/F41-1</f>
        <v>-0.676795680241269</v>
      </c>
    </row>
    <row r="44" customFormat="false" ht="15" hidden="false" customHeight="false" outlineLevel="0" collapsed="false">
      <c r="B44" s="15" t="s">
        <v>183</v>
      </c>
      <c r="C44" s="16"/>
      <c r="D44" s="16"/>
      <c r="E44" s="16"/>
      <c r="F44" s="16"/>
    </row>
    <row r="45" customFormat="false" ht="15" hidden="false" customHeight="false" outlineLevel="0" collapsed="false">
      <c r="B45" s="28" t="s">
        <v>184</v>
      </c>
      <c r="F45" s="53" t="n">
        <f aca="false">J16</f>
        <v>15810.0382267724</v>
      </c>
    </row>
    <row r="46" customFormat="false" ht="15" hidden="false" customHeight="false" outlineLevel="0" collapsed="false">
      <c r="B46" s="28" t="s">
        <v>185</v>
      </c>
      <c r="F46" s="53" t="n">
        <f aca="false">J20</f>
        <v>3475.48716051454</v>
      </c>
    </row>
    <row r="47" customFormat="false" ht="15" hidden="false" customHeight="false" outlineLevel="0" collapsed="false">
      <c r="B47" s="20" t="s">
        <v>186</v>
      </c>
      <c r="F47" s="33" t="n">
        <f aca="false">J16+J20</f>
        <v>19285.5253872869</v>
      </c>
    </row>
    <row r="48" customFormat="false" ht="15" hidden="false" customHeight="false" outlineLevel="0" collapsed="false">
      <c r="B48" s="28" t="s">
        <v>187</v>
      </c>
      <c r="F48" s="70" t="n">
        <f aca="false">Assumptions!C32</f>
        <v>18</v>
      </c>
    </row>
    <row r="49" customFormat="false" ht="15" hidden="false" customHeight="false" outlineLevel="0" collapsed="false">
      <c r="B49" s="28" t="s">
        <v>188</v>
      </c>
      <c r="F49" s="53" t="n">
        <f aca="false">F47*F48</f>
        <v>347139.456971164</v>
      </c>
    </row>
    <row r="50" customFormat="false" ht="15" hidden="false" customHeight="false" outlineLevel="0" collapsed="false">
      <c r="B50" s="20" t="s">
        <v>176</v>
      </c>
      <c r="F50" s="64" t="n">
        <f aca="false">F49*J26</f>
        <v>226948.024793385</v>
      </c>
    </row>
    <row r="51" customFormat="false" ht="15" hidden="false" customHeight="false" outlineLevel="0" collapsed="false">
      <c r="B51" s="20" t="s">
        <v>177</v>
      </c>
      <c r="F51" s="33" t="n">
        <f aca="false">F30+F50</f>
        <v>254194.802317869</v>
      </c>
    </row>
    <row r="52" customFormat="false" ht="15" hidden="false" customHeight="false" outlineLevel="0" collapsed="false">
      <c r="B52" s="28" t="s">
        <v>179</v>
      </c>
      <c r="F52" s="42" t="n">
        <f aca="false">Assumptions!C15</f>
        <v>9496</v>
      </c>
    </row>
    <row r="53" customFormat="false" ht="15" hidden="false" customHeight="false" outlineLevel="0" collapsed="false">
      <c r="B53" s="20" t="s">
        <v>9</v>
      </c>
      <c r="F53" s="33" t="n">
        <f aca="false">F51+F52</f>
        <v>263690.802317869</v>
      </c>
    </row>
    <row r="54" customFormat="false" ht="15" hidden="false" customHeight="false" outlineLevel="0" collapsed="false">
      <c r="B54" s="20" t="s">
        <v>181</v>
      </c>
      <c r="F54" s="67" t="n">
        <f aca="false">F53/Assumptions!C8</f>
        <v>592.826042805172</v>
      </c>
    </row>
    <row r="55" customFormat="false" ht="15" hidden="false" customHeight="false" outlineLevel="0" collapsed="false">
      <c r="B55" s="20" t="s">
        <v>182</v>
      </c>
      <c r="F55" s="69" t="n">
        <f aca="false">F54/Assumptions!C7-1</f>
        <v>-0.352102685458829</v>
      </c>
    </row>
    <row r="57" customFormat="false" ht="15" hidden="false" customHeight="false" outlineLevel="0" collapsed="false">
      <c r="B57" s="15" t="s">
        <v>189</v>
      </c>
      <c r="C57" s="16"/>
      <c r="D57" s="16"/>
      <c r="E57" s="16"/>
      <c r="F57" s="16"/>
    </row>
    <row r="58" customFormat="false" ht="15" hidden="false" customHeight="false" outlineLevel="0" collapsed="false">
      <c r="B58" s="28" t="s">
        <v>190</v>
      </c>
      <c r="F58" s="53" t="n">
        <f aca="false">Assumptions!C7*Assumptions!C8</f>
        <v>406994.745</v>
      </c>
    </row>
    <row r="59" customFormat="false" ht="15" hidden="false" customHeight="false" outlineLevel="0" collapsed="false">
      <c r="B59" s="28" t="s">
        <v>191</v>
      </c>
      <c r="F59" s="53" t="n">
        <f aca="false">F58-Assumptions!C15</f>
        <v>397498.745</v>
      </c>
    </row>
    <row r="60" customFormat="false" ht="15" hidden="false" customHeight="false" outlineLevel="0" collapsed="false">
      <c r="B60" s="28" t="s">
        <v>192</v>
      </c>
      <c r="F60" s="53" t="n">
        <f aca="false">-F30</f>
        <v>-27246.7775244841</v>
      </c>
    </row>
    <row r="61" customFormat="false" ht="15" hidden="false" customHeight="false" outlineLevel="0" collapsed="false">
      <c r="B61" s="20" t="s">
        <v>193</v>
      </c>
      <c r="F61" s="33" t="n">
        <f aca="false">F59-F30</f>
        <v>370251.967475516</v>
      </c>
    </row>
    <row r="62" customFormat="false" ht="15" hidden="false" customHeight="false" outlineLevel="0" collapsed="false">
      <c r="B62" s="28" t="s">
        <v>194</v>
      </c>
      <c r="F62" s="53" t="n">
        <f aca="false">F61/J26</f>
        <v>566337.015045492</v>
      </c>
    </row>
    <row r="63" customFormat="false" ht="15" hidden="false" customHeight="false" outlineLevel="0" collapsed="false">
      <c r="B63" s="20" t="s">
        <v>195</v>
      </c>
      <c r="F63" s="71" t="n">
        <f aca="false">F62/(J16+J20)</f>
        <v>29.3659106336208</v>
      </c>
    </row>
    <row r="64" customFormat="false" ht="15" hidden="false" customHeight="false" outlineLevel="0" collapsed="false">
      <c r="B64" s="20" t="s">
        <v>196</v>
      </c>
      <c r="F64" s="69" t="n">
        <f aca="false">(F62*WACC!$C23-J24)/(J24+F62)</f>
        <v>0.0730555367003995</v>
      </c>
    </row>
    <row r="66" customFormat="false" ht="15" hidden="false" customHeight="false" outlineLevel="0" collapsed="false">
      <c r="B66" s="15" t="s">
        <v>197</v>
      </c>
      <c r="C66" s="16"/>
      <c r="D66" s="16"/>
      <c r="E66" s="16"/>
      <c r="F66" s="16"/>
    </row>
    <row r="67" customFormat="false" ht="15" hidden="false" customHeight="false" outlineLevel="0" collapsed="false">
      <c r="B67" s="28" t="s">
        <v>198</v>
      </c>
      <c r="F67" s="72" t="n">
        <f aca="false">F40</f>
        <v>295.731952579239</v>
      </c>
    </row>
    <row r="68" customFormat="false" ht="15" hidden="false" customHeight="false" outlineLevel="0" collapsed="false">
      <c r="B68" s="28" t="s">
        <v>199</v>
      </c>
      <c r="F68" s="72" t="n">
        <f aca="false">F54</f>
        <v>592.826042805172</v>
      </c>
    </row>
    <row r="69" customFormat="false" ht="15" hidden="false" customHeight="false" outlineLevel="0" collapsed="false">
      <c r="B69" s="20" t="s">
        <v>200</v>
      </c>
      <c r="F69" s="73" t="n">
        <f aca="false">(F40+F54)/2</f>
        <v>444.278997692206</v>
      </c>
    </row>
    <row r="70" customFormat="false" ht="15" hidden="false" customHeight="false" outlineLevel="0" collapsed="false">
      <c r="B70" s="28" t="s">
        <v>12</v>
      </c>
      <c r="F70" s="68" t="n">
        <f aca="false">Assumptions!C7</f>
        <v>915</v>
      </c>
    </row>
    <row r="71" customFormat="false" ht="15" hidden="false" customHeight="false" outlineLevel="0" collapsed="false">
      <c r="B71" s="20" t="s">
        <v>201</v>
      </c>
      <c r="F71" s="69" t="n">
        <f aca="false">(F40+F54)/2/Assumptions!C7-1</f>
        <v>-0.514449182850049</v>
      </c>
    </row>
    <row r="73" customFormat="false" ht="25.5" hidden="false" customHeight="true" outlineLevel="0" collapsed="false">
      <c r="B73" s="25" t="s">
        <v>202</v>
      </c>
      <c r="C73" s="25"/>
      <c r="D73" s="25"/>
      <c r="E73" s="25"/>
      <c r="F73" s="25"/>
      <c r="G73" s="25"/>
      <c r="H73" s="25"/>
      <c r="I73" s="25"/>
      <c r="J73" s="25"/>
    </row>
    <row r="74" customFormat="false" ht="15" hidden="false" customHeight="false" outlineLevel="0" collapsed="false">
      <c r="B74" s="25"/>
      <c r="C74" s="25"/>
      <c r="D74" s="25"/>
      <c r="E74" s="25"/>
      <c r="F74" s="25"/>
      <c r="G74" s="25"/>
      <c r="H74" s="25"/>
      <c r="I74" s="25"/>
      <c r="J74" s="25"/>
    </row>
  </sheetData>
  <mergeCells count="1">
    <mergeCell ref="B73:J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6"/>
    <col collapsed="false" customWidth="true" hidden="false" outlineLevel="0" max="7" min="3" style="1" width="12"/>
  </cols>
  <sheetData>
    <row r="2" customFormat="false" ht="17.35" hidden="false" customHeight="false" outlineLevel="0" collapsed="false">
      <c r="B2" s="26" t="s">
        <v>203</v>
      </c>
    </row>
    <row r="3" customFormat="false" ht="15" hidden="false" customHeight="false" outlineLevel="0" collapsed="false">
      <c r="B3" s="5" t="s">
        <v>204</v>
      </c>
    </row>
    <row r="5" customFormat="false" ht="15" hidden="false" customHeight="false" outlineLevel="0" collapsed="false">
      <c r="B5" s="27" t="s">
        <v>205</v>
      </c>
      <c r="C5" s="16"/>
      <c r="D5" s="16"/>
      <c r="E5" s="16"/>
      <c r="F5" s="16"/>
      <c r="G5" s="16"/>
    </row>
    <row r="6" customFormat="false" ht="15" hidden="false" customHeight="false" outlineLevel="0" collapsed="false">
      <c r="B6" s="74" t="s">
        <v>206</v>
      </c>
      <c r="C6" s="75" t="n">
        <v>0.02</v>
      </c>
      <c r="D6" s="75" t="n">
        <v>0.025</v>
      </c>
      <c r="E6" s="75" t="n">
        <v>0.03</v>
      </c>
      <c r="F6" s="75" t="n">
        <v>0.035</v>
      </c>
      <c r="G6" s="75" t="n">
        <v>0.04</v>
      </c>
    </row>
    <row r="7" customFormat="false" ht="15" hidden="false" customHeight="false" outlineLevel="0" collapsed="false">
      <c r="B7" s="75" t="n">
        <v>0.07</v>
      </c>
      <c r="C7" s="72" t="n">
        <f aca="false">(NPV($B7,'DCF Model'!$F$24:$J$24)+('DCF Model'!$J$24*(1+C$6)/($B7-C$6))/(1+$B7)^5+Assumptions!C15)/Assumptions!C8</f>
        <v>356.20292772302</v>
      </c>
      <c r="D7" s="72" t="n">
        <f aca="false">(NPV($B7,'DCF Model'!$F$24:$J$24)+('DCF Model'!$J$24*(1+D$6)/($B7-D$6))/(1+$B7)^5+Assumptions!C15)/Assumptions!C8</f>
        <v>387.709794311128</v>
      </c>
      <c r="E7" s="72" t="n">
        <f aca="false">(NPV($B7,'DCF Model'!$F$24:$J$24)+('DCF Model'!$J$24*(1+E$6)/($B7-E$6))/(1+$B7)^5+Assumptions!C15)/Assumptions!C8</f>
        <v>427.093377546263</v>
      </c>
      <c r="F7" s="72" t="n">
        <f aca="false">(NPV($B7,'DCF Model'!$F$24:$J$24)+('DCF Model'!$J$24*(1+F$6)/($B7-F$6))/(1+$B7)^5+Assumptions!C15)/Assumptions!C8</f>
        <v>477.729413134295</v>
      </c>
      <c r="G7" s="72" t="n">
        <f aca="false">(NPV($B7,'DCF Model'!$F$24:$J$24)+('DCF Model'!$J$24*(1+G$6)/($B7-G$6))/(1+$B7)^5+Assumptions!C15)/Assumptions!C8</f>
        <v>545.24412725167</v>
      </c>
    </row>
    <row r="8" customFormat="false" ht="15" hidden="false" customHeight="false" outlineLevel="0" collapsed="false">
      <c r="B8" s="75" t="n">
        <v>0.078</v>
      </c>
      <c r="C8" s="76" t="n">
        <f aca="false">(NPV($B8,'DCF Model'!$F$24:$J$24)+('DCF Model'!$J$24*(1+C$6)/($B8-C$6))/(1+$B8)^5+Assumptions!C15)/Assumptions!C8</f>
        <v>308.961814140796</v>
      </c>
      <c r="D8" s="76" t="n">
        <f aca="false">(NPV($B8,'DCF Model'!$F$24:$J$24)+('DCF Model'!$J$24*(1+D$6)/($B8-D$6))/(1+$B8)^5+Assumptions!C15)/Assumptions!C8</f>
        <v>331.346135714443</v>
      </c>
      <c r="E8" s="76" t="n">
        <f aca="false">(NPV($B8,'DCF Model'!$F$24:$J$24)+('DCF Model'!$J$24*(1+E$6)/($B8-E$6))/(1+$B8)^5+Assumptions!C15)/Assumptions!C8</f>
        <v>358.393857615934</v>
      </c>
      <c r="F8" s="76" t="n">
        <f aca="false">(NPV($B8,'DCF Model'!$F$24:$J$24)+('DCF Model'!$J$24*(1+F$6)/($B8-F$6))/(1+$B8)^5+Assumptions!C15)/Assumptions!C8</f>
        <v>391.731747401492</v>
      </c>
      <c r="G8" s="76" t="n">
        <f aca="false">(NPV($B8,'DCF Model'!$F$24:$J$24)+('DCF Model'!$J$24*(1+G$6)/($B8-G$6))/(1+$B8)^5+Assumptions!C15)/Assumptions!C8</f>
        <v>433.842766077987</v>
      </c>
    </row>
    <row r="9" customFormat="false" ht="15" hidden="false" customHeight="false" outlineLevel="0" collapsed="false">
      <c r="B9" s="75" t="n">
        <v>0.086</v>
      </c>
      <c r="C9" s="72" t="n">
        <f aca="false">(NPV($B9,'DCF Model'!$F$24:$J$24)+('DCF Model'!$J$24*(1+C$6)/($B9-C$6))/(1+$B9)^5+Assumptions!C15)/Assumptions!C8</f>
        <v>273.199692054459</v>
      </c>
      <c r="D9" s="72" t="n">
        <f aca="false">(NPV($B9,'DCF Model'!$F$24:$J$24)+('DCF Model'!$J$24*(1+D$6)/($B9-D$6))/(1+$B9)^5+Assumptions!C15)/Assumptions!C8</f>
        <v>289.792877667555</v>
      </c>
      <c r="E9" s="77" t="n">
        <f aca="false">(NPV($B9,'DCF Model'!$F$24:$J$24)+('DCF Model'!$J$24*(1+E$6)/($B9-E$6))/(1+$B9)^5+Assumptions!C15)/Assumptions!C8</f>
        <v>309.349132140132</v>
      </c>
      <c r="F9" s="72" t="n">
        <f aca="false">(NPV($B9,'DCF Model'!$F$24:$J$24)+('DCF Model'!$J$24*(1+F$6)/($B9-F$6))/(1+$B9)^5+Assumptions!C15)/Assumptions!C8</f>
        <v>332.739946313215</v>
      </c>
      <c r="G9" s="72" t="n">
        <f aca="false">(NPV($B9,'DCF Model'!$F$24:$J$24)+('DCF Model'!$J$24*(1+G$6)/($B9-G$6))/(1+$B9)^5+Assumptions!C15)/Assumptions!C8</f>
        <v>361.215720089142</v>
      </c>
    </row>
    <row r="10" customFormat="false" ht="15" hidden="false" customHeight="false" outlineLevel="0" collapsed="false">
      <c r="B10" s="75" t="n">
        <v>0.094</v>
      </c>
      <c r="C10" s="76" t="n">
        <f aca="false">(NPV($B10,'DCF Model'!$F$24:$J$24)+('DCF Model'!$J$24*(1+C$6)/($B10-C$6))/(1+$B10)^5+Assumptions!C15)/Assumptions!C8</f>
        <v>245.192752755075</v>
      </c>
      <c r="D10" s="76" t="n">
        <f aca="false">(NPV($B10,'DCF Model'!$F$24:$J$24)+('DCF Model'!$J$24*(1+D$6)/($B10-D$6))/(1+$B10)^5+Assumptions!C15)/Assumptions!C8</f>
        <v>257.897696440553</v>
      </c>
      <c r="E10" s="76" t="n">
        <f aca="false">(NPV($B10,'DCF Model'!$F$24:$J$24)+('DCF Model'!$J$24*(1+E$6)/($B10-E$6))/(1+$B10)^5+Assumptions!C15)/Assumptions!C8</f>
        <v>272.587787576888</v>
      </c>
      <c r="F10" s="76" t="n">
        <f aca="false">(NPV($B10,'DCF Model'!$F$24:$J$24)+('DCF Model'!$J$24*(1+F$6)/($B10-F$6))/(1+$B10)^5+Assumptions!C15)/Assumptions!C8</f>
        <v>289.767724668534</v>
      </c>
      <c r="G10" s="76" t="n">
        <f aca="false">(NPV($B10,'DCF Model'!$F$24:$J$24)+('DCF Model'!$J$24*(1+G$6)/($B10-G$6))/(1+$B10)^5+Assumptions!C15)/Assumptions!C8</f>
        <v>310.129131591966</v>
      </c>
    </row>
    <row r="11" customFormat="false" ht="15" hidden="false" customHeight="false" outlineLevel="0" collapsed="false">
      <c r="B11" s="75" t="n">
        <v>0.102</v>
      </c>
      <c r="C11" s="72" t="n">
        <f aca="false">(NPV($B11,'DCF Model'!$F$24:$J$24)+('DCF Model'!$J$24*(1+C$6)/($B11-C$6))/(1+$B11)^5+Assumptions!C15)/Assumptions!C8</f>
        <v>222.670417959215</v>
      </c>
      <c r="D11" s="72" t="n">
        <f aca="false">(NPV($B11,'DCF Model'!$F$24:$J$24)+('DCF Model'!$J$24*(1+D$6)/($B11-D$6))/(1+$B11)^5+Assumptions!C15)/Assumptions!C8</f>
        <v>232.649529736124</v>
      </c>
      <c r="E11" s="72" t="n">
        <f aca="false">(NPV($B11,'DCF Model'!$F$24:$J$24)+('DCF Model'!$J$24*(1+E$6)/($B11-E$6))/(1+$B11)^5+Assumptions!C15)/Assumptions!C8</f>
        <v>244.014629259825</v>
      </c>
      <c r="F11" s="72" t="n">
        <f aca="false">(NPV($B11,'DCF Model'!$F$24:$J$24)+('DCF Model'!$J$24*(1+F$6)/($B11-F$6))/(1+$B11)^5+Assumptions!C15)/Assumptions!C8</f>
        <v>257.076012294527</v>
      </c>
      <c r="G11" s="72" t="n">
        <f aca="false">(NPV($B11,'DCF Model'!$F$24:$J$24)+('DCF Model'!$J$24*(1+G$6)/($B11-G$6))/(1+$B11)^5+Assumptions!C15)/Assumptions!C8</f>
        <v>272.244070012245</v>
      </c>
    </row>
    <row r="12" customFormat="false" ht="15" hidden="false" customHeight="false" outlineLevel="0" collapsed="false">
      <c r="B12" s="78" t="s">
        <v>207</v>
      </c>
      <c r="C12" s="78"/>
      <c r="D12" s="78"/>
      <c r="E12" s="78"/>
      <c r="F12" s="78"/>
      <c r="G12" s="78"/>
    </row>
    <row r="14" customFormat="false" ht="15" hidden="false" customHeight="false" outlineLevel="0" collapsed="false">
      <c r="B14" s="27" t="s">
        <v>208</v>
      </c>
      <c r="C14" s="16"/>
      <c r="D14" s="16"/>
      <c r="E14" s="16"/>
      <c r="F14" s="16"/>
      <c r="G14" s="16"/>
    </row>
    <row r="15" customFormat="false" ht="15" hidden="false" customHeight="false" outlineLevel="0" collapsed="false">
      <c r="B15" s="74" t="s">
        <v>209</v>
      </c>
      <c r="C15" s="79" t="n">
        <v>14</v>
      </c>
      <c r="D15" s="79" t="n">
        <v>16</v>
      </c>
      <c r="E15" s="79" t="n">
        <v>18</v>
      </c>
      <c r="F15" s="79" t="n">
        <v>20</v>
      </c>
      <c r="G15" s="79" t="n">
        <v>22</v>
      </c>
    </row>
    <row r="16" customFormat="false" ht="15" hidden="false" customHeight="false" outlineLevel="0" collapsed="false">
      <c r="B16" s="75" t="n">
        <v>0.07</v>
      </c>
      <c r="C16" s="76" t="n">
        <f aca="false">(NPV($B16,'DCF Model'!$F$24:$J$24)+(('DCF Model'!$J$16+'DCF Model'!$J$20)*C$15)/(1+$B16)^5+Assumptions!C15)/Assumptions!C8</f>
        <v>518.677391480311</v>
      </c>
      <c r="D16" s="76" t="n">
        <f aca="false">(NPV($B16,'DCF Model'!$F$24:$J$24)+(('DCF Model'!$J$16+'DCF Model'!$J$20)*D$15)/(1+$B16)^5+Assumptions!C15)/Assumptions!C8</f>
        <v>580.503921720516</v>
      </c>
      <c r="E16" s="76" t="n">
        <f aca="false">(NPV($B16,'DCF Model'!$F$24:$J$24)+(('DCF Model'!$J$16+'DCF Model'!$J$20)*E$15)/(1+$B16)^5+Assumptions!C15)/Assumptions!C8</f>
        <v>642.330451960721</v>
      </c>
      <c r="F16" s="76" t="n">
        <f aca="false">(NPV($B16,'DCF Model'!$F$24:$J$24)+(('DCF Model'!$J$16+'DCF Model'!$J$20)*F$15)/(1+$B16)^5+Assumptions!C15)/Assumptions!C8</f>
        <v>704.156982200926</v>
      </c>
      <c r="G16" s="76" t="n">
        <f aca="false">(NPV($B16,'DCF Model'!$F$24:$J$24)+(('DCF Model'!$J$16+'DCF Model'!$J$20)*G$15)/(1+$B16)^5+Assumptions!C15)/Assumptions!C8</f>
        <v>765.983512441131</v>
      </c>
    </row>
    <row r="17" customFormat="false" ht="15" hidden="false" customHeight="false" outlineLevel="0" collapsed="false">
      <c r="B17" s="75" t="n">
        <v>0.078</v>
      </c>
      <c r="C17" s="72" t="n">
        <f aca="false">(NPV($B17,'DCF Model'!$F$24:$J$24)+(('DCF Model'!$J$16+'DCF Model'!$J$20)*C$15)/(1+$B17)^5+Assumptions!C15)/Assumptions!C8</f>
        <v>501.417589242218</v>
      </c>
      <c r="D17" s="72" t="n">
        <f aca="false">(NPV($B17,'DCF Model'!$F$24:$J$24)+(('DCF Model'!$J$16+'DCF Model'!$J$20)*D$15)/(1+$B17)^5+Assumptions!C15)/Assumptions!C8</f>
        <v>560.98379788436</v>
      </c>
      <c r="E17" s="72" t="n">
        <f aca="false">(NPV($B17,'DCF Model'!$F$24:$J$24)+(('DCF Model'!$J$16+'DCF Model'!$J$20)*E$15)/(1+$B17)^5+Assumptions!C15)/Assumptions!C8</f>
        <v>620.550006526503</v>
      </c>
      <c r="F17" s="72" t="n">
        <f aca="false">(NPV($B17,'DCF Model'!$F$24:$J$24)+(('DCF Model'!$J$16+'DCF Model'!$J$20)*F$15)/(1+$B17)^5+Assumptions!C15)/Assumptions!C8</f>
        <v>680.116215168646</v>
      </c>
      <c r="G17" s="72" t="n">
        <f aca="false">(NPV($B17,'DCF Model'!$F$24:$J$24)+(('DCF Model'!$J$16+'DCF Model'!$J$20)*G$15)/(1+$B17)^5+Assumptions!C15)/Assumptions!C8</f>
        <v>739.682423810789</v>
      </c>
    </row>
    <row r="18" customFormat="false" ht="15" hidden="false" customHeight="false" outlineLevel="0" collapsed="false">
      <c r="B18" s="75" t="n">
        <v>0.086</v>
      </c>
      <c r="C18" s="76" t="n">
        <f aca="false">(NPV($B18,'DCF Model'!$F$24:$J$24)+(('DCF Model'!$J$16+'DCF Model'!$J$20)*C$15)/(1+$B18)^5+Assumptions!C15)/Assumptions!C8</f>
        <v>484.895915594717</v>
      </c>
      <c r="D18" s="76" t="n">
        <f aca="false">(NPV($B18,'DCF Model'!$F$24:$J$24)+(('DCF Model'!$J$16+'DCF Model'!$J$20)*D$15)/(1+$B18)^5+Assumptions!C15)/Assumptions!C8</f>
        <v>542.300243473445</v>
      </c>
      <c r="E18" s="77" t="n">
        <f aca="false">(NPV($B18,'DCF Model'!$F$24:$J$24)+(('DCF Model'!$J$16+'DCF Model'!$J$20)*E$15)/(1+$B18)^5+Assumptions!C15)/Assumptions!C8</f>
        <v>599.704571352172</v>
      </c>
      <c r="F18" s="76" t="n">
        <f aca="false">(NPV($B18,'DCF Model'!$F$24:$J$24)+(('DCF Model'!$J$16+'DCF Model'!$J$20)*F$15)/(1+$B18)^5+Assumptions!C15)/Assumptions!C8</f>
        <v>657.1088992309</v>
      </c>
      <c r="G18" s="76" t="n">
        <f aca="false">(NPV($B18,'DCF Model'!$F$24:$J$24)+(('DCF Model'!$J$16+'DCF Model'!$J$20)*G$15)/(1+$B18)^5+Assumptions!C15)/Assumptions!C8</f>
        <v>714.513227109628</v>
      </c>
    </row>
    <row r="19" customFormat="false" ht="15" hidden="false" customHeight="false" outlineLevel="0" collapsed="false">
      <c r="B19" s="75" t="n">
        <v>0.094</v>
      </c>
      <c r="C19" s="72" t="n">
        <f aca="false">(NPV($B19,'DCF Model'!$F$24:$J$24)+(('DCF Model'!$J$16+'DCF Model'!$J$20)*C$15)/(1+$B19)^5+Assumptions!C15)/Assumptions!C8</f>
        <v>469.07548167263</v>
      </c>
      <c r="D19" s="72" t="n">
        <f aca="false">(NPV($B19,'DCF Model'!$F$24:$J$24)+(('DCF Model'!$J$16+'DCF Model'!$J$20)*D$15)/(1+$B19)^5+Assumptions!C15)/Assumptions!C8</f>
        <v>524.411403943798</v>
      </c>
      <c r="E19" s="72" t="n">
        <f aca="false">(NPV($B19,'DCF Model'!$F$24:$J$24)+(('DCF Model'!$J$16+'DCF Model'!$J$20)*E$15)/(1+$B19)^5+Assumptions!C15)/Assumptions!C8</f>
        <v>579.747326214966</v>
      </c>
      <c r="F19" s="72" t="n">
        <f aca="false">(NPV($B19,'DCF Model'!$F$24:$J$24)+(('DCF Model'!$J$16+'DCF Model'!$J$20)*F$15)/(1+$B19)^5+Assumptions!C15)/Assumptions!C8</f>
        <v>635.083248486135</v>
      </c>
      <c r="G19" s="72" t="n">
        <f aca="false">(NPV($B19,'DCF Model'!$F$24:$J$24)+(('DCF Model'!$J$16+'DCF Model'!$J$20)*G$15)/(1+$B19)^5+Assumptions!C15)/Assumptions!C8</f>
        <v>690.419170757303</v>
      </c>
    </row>
    <row r="20" customFormat="false" ht="15" hidden="false" customHeight="false" outlineLevel="0" collapsed="false">
      <c r="B20" s="75" t="n">
        <v>0.102</v>
      </c>
      <c r="C20" s="76" t="n">
        <f aca="false">(NPV($B20,'DCF Model'!$F$24:$J$24)+(('DCF Model'!$J$16+'DCF Model'!$J$20)*C$15)/(1+$B20)^5+Assumptions!C15)/Assumptions!C8</f>
        <v>453.921498084113</v>
      </c>
      <c r="D20" s="76" t="n">
        <f aca="false">(NPV($B20,'DCF Model'!$F$24:$J$24)+(('DCF Model'!$J$16+'DCF Model'!$J$20)*D$15)/(1+$B20)^5+Assumptions!C15)/Assumptions!C8</f>
        <v>507.277808440519</v>
      </c>
      <c r="E20" s="76" t="n">
        <f aca="false">(NPV($B20,'DCF Model'!$F$24:$J$24)+(('DCF Model'!$J$16+'DCF Model'!$J$20)*E$15)/(1+$B20)^5+Assumptions!C15)/Assumptions!C8</f>
        <v>560.634118796926</v>
      </c>
      <c r="F20" s="76" t="n">
        <f aca="false">(NPV($B20,'DCF Model'!$F$24:$J$24)+(('DCF Model'!$J$16+'DCF Model'!$J$20)*F$15)/(1+$B20)^5+Assumptions!C15)/Assumptions!C8</f>
        <v>613.990429153332</v>
      </c>
      <c r="G20" s="76" t="n">
        <f aca="false">(NPV($B20,'DCF Model'!$F$24:$J$24)+(('DCF Model'!$J$16+'DCF Model'!$J$20)*G$15)/(1+$B20)^5+Assumptions!C15)/Assumptions!C8</f>
        <v>667.346739509739</v>
      </c>
    </row>
    <row r="21" customFormat="false" ht="15" hidden="false" customHeight="false" outlineLevel="0" collapsed="false">
      <c r="B21" s="78" t="s">
        <v>210</v>
      </c>
      <c r="C21" s="78"/>
      <c r="D21" s="78"/>
      <c r="E21" s="78"/>
      <c r="F21" s="78"/>
      <c r="G21" s="78"/>
    </row>
    <row r="23" customFormat="false" ht="15" hidden="false" customHeight="false" outlineLevel="0" collapsed="false">
      <c r="B23" s="27" t="s">
        <v>211</v>
      </c>
      <c r="C23" s="16"/>
      <c r="D23" s="16"/>
    </row>
    <row r="24" customFormat="false" ht="15" hidden="false" customHeight="false" outlineLevel="0" collapsed="false">
      <c r="B24" s="28" t="s">
        <v>212</v>
      </c>
      <c r="C24" s="68" t="n">
        <f aca="false">'DCF Model'!F40</f>
        <v>295.731952579239</v>
      </c>
    </row>
    <row r="25" customFormat="false" ht="15" hidden="false" customHeight="false" outlineLevel="0" collapsed="false">
      <c r="B25" s="28" t="s">
        <v>199</v>
      </c>
      <c r="C25" s="68" t="n">
        <f aca="false">'DCF Model'!F54</f>
        <v>592.826042805172</v>
      </c>
    </row>
    <row r="26" customFormat="false" ht="15" hidden="false" customHeight="false" outlineLevel="0" collapsed="false">
      <c r="B26" s="28" t="s">
        <v>200</v>
      </c>
      <c r="C26" s="80" t="n">
        <f aca="false">('DCF Model'!F40+'DCF Model'!F54)/2</f>
        <v>444.278997692206</v>
      </c>
    </row>
    <row r="27" customFormat="false" ht="15" hidden="false" customHeight="false" outlineLevel="0" collapsed="false">
      <c r="B27" s="28" t="s">
        <v>12</v>
      </c>
      <c r="C27" s="68" t="n">
        <f aca="false">Assumptions!C7</f>
        <v>915</v>
      </c>
    </row>
    <row r="28" customFormat="false" ht="24" hidden="false" customHeight="true" outlineLevel="0" collapsed="false">
      <c r="B28" s="25" t="s">
        <v>213</v>
      </c>
      <c r="C28" s="25"/>
      <c r="D28" s="25"/>
      <c r="E28" s="25"/>
      <c r="F28" s="25"/>
      <c r="G28" s="25"/>
    </row>
    <row r="29" customFormat="false" ht="15" hidden="false" customHeight="false" outlineLevel="0" collapsed="false">
      <c r="B29" s="25"/>
      <c r="C29" s="25"/>
      <c r="D29" s="25"/>
      <c r="E29" s="25"/>
      <c r="F29" s="25"/>
      <c r="G29" s="25"/>
    </row>
  </sheetData>
  <mergeCells count="3">
    <mergeCell ref="B12:G12"/>
    <mergeCell ref="B21:G21"/>
    <mergeCell ref="B28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2026-07-11T15:41:39Z</dcterms:created>
  <dc:creator>openpyxl</dc:creator>
  <dc:description/>
  <dc:language>en-US</dc:language>
  <cp:lastModifiedBy/>
  <dcterms:modified xsi:type="dcterms:W3CDTF">2026-07-11T15:41:39Z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